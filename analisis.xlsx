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gel Parra\Documents\LabEda2o\"/>
    </mc:Choice>
  </mc:AlternateContent>
  <xr:revisionPtr revIDLastSave="0" documentId="13_ncr:1_{F6DFC347-ACAA-441B-94F2-87276FB841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la" sheetId="1" r:id="rId1"/>
    <sheet name="Fila" sheetId="2" r:id="rId2"/>
    <sheet name="Resumen" sheetId="3" r:id="rId3"/>
  </sheets>
  <calcPr calcId="181029"/>
</workbook>
</file>

<file path=xl/calcChain.xml><?xml version="1.0" encoding="utf-8"?>
<calcChain xmlns="http://schemas.openxmlformats.org/spreadsheetml/2006/main">
  <c r="A24" i="3" l="1"/>
  <c r="E11" i="3"/>
  <c r="E7" i="3"/>
  <c r="Y10" i="2"/>
  <c r="X10" i="2"/>
  <c r="T10" i="2"/>
  <c r="S10" i="2"/>
  <c r="F13" i="3" s="1"/>
  <c r="L13" i="3" s="1"/>
  <c r="R10" i="2"/>
  <c r="Q10" i="2"/>
  <c r="M10" i="2"/>
  <c r="L10" i="2"/>
  <c r="E13" i="3" s="1"/>
  <c r="K10" i="2"/>
  <c r="J10" i="2"/>
  <c r="I10" i="2"/>
  <c r="Y9" i="2"/>
  <c r="X9" i="2"/>
  <c r="T9" i="2"/>
  <c r="U9" i="2" s="1"/>
  <c r="S9" i="2"/>
  <c r="R9" i="2"/>
  <c r="Q9" i="2"/>
  <c r="M9" i="2"/>
  <c r="L9" i="2"/>
  <c r="E12" i="3" s="1"/>
  <c r="K9" i="2"/>
  <c r="J9" i="2"/>
  <c r="I9" i="2"/>
  <c r="Y8" i="2"/>
  <c r="X8" i="2"/>
  <c r="T8" i="2"/>
  <c r="S8" i="2"/>
  <c r="F11" i="3" s="1"/>
  <c r="L11" i="3" s="1"/>
  <c r="R8" i="2"/>
  <c r="Q8" i="2"/>
  <c r="M8" i="2"/>
  <c r="N8" i="2" s="1"/>
  <c r="L8" i="2"/>
  <c r="O9" i="2" s="1"/>
  <c r="P9" i="2" s="1"/>
  <c r="K8" i="2"/>
  <c r="J8" i="2"/>
  <c r="I8" i="2"/>
  <c r="Y7" i="2"/>
  <c r="X7" i="2"/>
  <c r="T7" i="2"/>
  <c r="S7" i="2"/>
  <c r="V8" i="2" s="1"/>
  <c r="W8" i="2" s="1"/>
  <c r="R7" i="2"/>
  <c r="Q7" i="2"/>
  <c r="M7" i="2"/>
  <c r="L7" i="2"/>
  <c r="E10" i="3" s="1"/>
  <c r="K7" i="2"/>
  <c r="J7" i="2"/>
  <c r="I7" i="2"/>
  <c r="Y6" i="2"/>
  <c r="X6" i="2"/>
  <c r="T6" i="2"/>
  <c r="S6" i="2"/>
  <c r="V7" i="2" s="1"/>
  <c r="W7" i="2" s="1"/>
  <c r="R6" i="2"/>
  <c r="Q6" i="2"/>
  <c r="M6" i="2"/>
  <c r="L6" i="2"/>
  <c r="O7" i="2" s="1"/>
  <c r="P7" i="2" s="1"/>
  <c r="K6" i="2"/>
  <c r="J6" i="2"/>
  <c r="I6" i="2"/>
  <c r="Y5" i="2"/>
  <c r="X5" i="2"/>
  <c r="T5" i="2"/>
  <c r="U5" i="2" s="1"/>
  <c r="S5" i="2"/>
  <c r="F8" i="3" s="1"/>
  <c r="L8" i="3" s="1"/>
  <c r="R5" i="2"/>
  <c r="Q5" i="2"/>
  <c r="M5" i="2"/>
  <c r="L5" i="2"/>
  <c r="E8" i="3" s="1"/>
  <c r="K5" i="2"/>
  <c r="J5" i="2"/>
  <c r="I5" i="2"/>
  <c r="Y4" i="2"/>
  <c r="X4" i="2"/>
  <c r="T4" i="2"/>
  <c r="U4" i="2" s="1"/>
  <c r="S4" i="2"/>
  <c r="F7" i="3" s="1"/>
  <c r="L7" i="3" s="1"/>
  <c r="R4" i="2"/>
  <c r="Q4" i="2"/>
  <c r="M4" i="2"/>
  <c r="N4" i="2" s="1"/>
  <c r="L4" i="2"/>
  <c r="O5" i="2" s="1"/>
  <c r="P5" i="2" s="1"/>
  <c r="K4" i="2"/>
  <c r="J4" i="2"/>
  <c r="I4" i="2"/>
  <c r="Y3" i="2"/>
  <c r="X3" i="2"/>
  <c r="T3" i="2"/>
  <c r="S3" i="2"/>
  <c r="V4" i="2" s="1"/>
  <c r="W4" i="2" s="1"/>
  <c r="R3" i="2"/>
  <c r="Q3" i="2"/>
  <c r="N3" i="2"/>
  <c r="M3" i="2"/>
  <c r="L3" i="2"/>
  <c r="E6" i="3" s="1"/>
  <c r="K3" i="2"/>
  <c r="J3" i="2"/>
  <c r="I3" i="2"/>
  <c r="Y2" i="2"/>
  <c r="X2" i="2"/>
  <c r="U2" i="2"/>
  <c r="T2" i="2"/>
  <c r="S2" i="2"/>
  <c r="F5" i="3" s="1"/>
  <c r="L5" i="3" s="1"/>
  <c r="R2" i="2"/>
  <c r="Q2" i="2"/>
  <c r="M2" i="2"/>
  <c r="L2" i="2"/>
  <c r="O3" i="2" s="1"/>
  <c r="P3" i="2" s="1"/>
  <c r="K2" i="2"/>
  <c r="J2" i="2"/>
  <c r="I2" i="2"/>
  <c r="X10" i="1"/>
  <c r="W10" i="1"/>
  <c r="S10" i="1"/>
  <c r="T10" i="1" s="1"/>
  <c r="R10" i="1"/>
  <c r="C13" i="3" s="1"/>
  <c r="J13" i="3" s="1"/>
  <c r="Q10" i="1"/>
  <c r="P10" i="1"/>
  <c r="L10" i="1"/>
  <c r="K10" i="1"/>
  <c r="B13" i="3" s="1"/>
  <c r="J10" i="1"/>
  <c r="I10" i="1"/>
  <c r="H10" i="1"/>
  <c r="A22" i="3" s="1"/>
  <c r="X9" i="1"/>
  <c r="W9" i="1"/>
  <c r="S9" i="1"/>
  <c r="R9" i="1"/>
  <c r="C12" i="3" s="1"/>
  <c r="J12" i="3" s="1"/>
  <c r="Q9" i="1"/>
  <c r="P9" i="1"/>
  <c r="L9" i="1"/>
  <c r="M9" i="1" s="1"/>
  <c r="K9" i="1"/>
  <c r="B12" i="3" s="1"/>
  <c r="J9" i="1"/>
  <c r="I9" i="1"/>
  <c r="H9" i="1"/>
  <c r="A12" i="3" s="1"/>
  <c r="X8" i="1"/>
  <c r="W8" i="1"/>
  <c r="S8" i="1"/>
  <c r="R8" i="1"/>
  <c r="U9" i="1" s="1"/>
  <c r="V9" i="1" s="1"/>
  <c r="Q8" i="1"/>
  <c r="P8" i="1"/>
  <c r="L8" i="1"/>
  <c r="K8" i="1"/>
  <c r="B11" i="3" s="1"/>
  <c r="J8" i="1"/>
  <c r="I8" i="1"/>
  <c r="H8" i="1"/>
  <c r="A11" i="3" s="1"/>
  <c r="X7" i="1"/>
  <c r="W7" i="1"/>
  <c r="S7" i="1"/>
  <c r="R7" i="1"/>
  <c r="U8" i="1" s="1"/>
  <c r="V8" i="1" s="1"/>
  <c r="Q7" i="1"/>
  <c r="P7" i="1"/>
  <c r="L7" i="1"/>
  <c r="K7" i="1"/>
  <c r="B10" i="3" s="1"/>
  <c r="J7" i="1"/>
  <c r="I7" i="1"/>
  <c r="H7" i="1"/>
  <c r="A10" i="3" s="1"/>
  <c r="X6" i="1"/>
  <c r="W6" i="1"/>
  <c r="S6" i="1"/>
  <c r="T6" i="1" s="1"/>
  <c r="R6" i="1"/>
  <c r="C9" i="3" s="1"/>
  <c r="J9" i="3" s="1"/>
  <c r="Q6" i="1"/>
  <c r="P6" i="1"/>
  <c r="L6" i="1"/>
  <c r="K6" i="1"/>
  <c r="B9" i="3" s="1"/>
  <c r="J6" i="1"/>
  <c r="I6" i="1"/>
  <c r="H6" i="1"/>
  <c r="A9" i="3" s="1"/>
  <c r="X5" i="1"/>
  <c r="W5" i="1"/>
  <c r="S5" i="1"/>
  <c r="R5" i="1"/>
  <c r="U6" i="1" s="1"/>
  <c r="V6" i="1" s="1"/>
  <c r="Q5" i="1"/>
  <c r="P5" i="1"/>
  <c r="L5" i="1"/>
  <c r="M5" i="1" s="1"/>
  <c r="K5" i="1"/>
  <c r="B8" i="3" s="1"/>
  <c r="J5" i="1"/>
  <c r="I5" i="1"/>
  <c r="H5" i="1"/>
  <c r="A8" i="3" s="1"/>
  <c r="X4" i="1"/>
  <c r="W4" i="1"/>
  <c r="S4" i="1"/>
  <c r="R4" i="1"/>
  <c r="C7" i="3" s="1"/>
  <c r="J7" i="3" s="1"/>
  <c r="Q4" i="1"/>
  <c r="P4" i="1"/>
  <c r="L4" i="1"/>
  <c r="K4" i="1"/>
  <c r="N5" i="1" s="1"/>
  <c r="O5" i="1" s="1"/>
  <c r="J4" i="1"/>
  <c r="I4" i="1"/>
  <c r="H4" i="1"/>
  <c r="A7" i="3" s="1"/>
  <c r="X3" i="1"/>
  <c r="W3" i="1"/>
  <c r="S3" i="1"/>
  <c r="R3" i="1"/>
  <c r="U4" i="1" s="1"/>
  <c r="V4" i="1" s="1"/>
  <c r="Q3" i="1"/>
  <c r="P3" i="1"/>
  <c r="L3" i="1"/>
  <c r="K3" i="1"/>
  <c r="B6" i="3" s="1"/>
  <c r="J3" i="1"/>
  <c r="I3" i="1"/>
  <c r="H3" i="1"/>
  <c r="A6" i="3" s="1"/>
  <c r="X2" i="1"/>
  <c r="W2" i="1"/>
  <c r="S2" i="1"/>
  <c r="R2" i="1"/>
  <c r="C5" i="3" s="1"/>
  <c r="J5" i="3" s="1"/>
  <c r="Q2" i="1"/>
  <c r="P2" i="1"/>
  <c r="L2" i="1"/>
  <c r="K2" i="1"/>
  <c r="J2" i="1"/>
  <c r="I2" i="1"/>
  <c r="H2" i="1"/>
  <c r="A5" i="3" s="1"/>
  <c r="M8" i="1" l="1"/>
  <c r="T9" i="1"/>
  <c r="V3" i="2"/>
  <c r="W3" i="2" s="1"/>
  <c r="V10" i="2"/>
  <c r="W10" i="2" s="1"/>
  <c r="A23" i="3"/>
  <c r="N3" i="1"/>
  <c r="O3" i="1" s="1"/>
  <c r="M4" i="1"/>
  <c r="T5" i="1"/>
  <c r="V6" i="2"/>
  <c r="W6" i="2" s="1"/>
  <c r="N7" i="2"/>
  <c r="U8" i="2"/>
  <c r="F12" i="3"/>
  <c r="L12" i="3" s="1"/>
  <c r="I6" i="3"/>
  <c r="K6" i="3"/>
  <c r="G11" i="3"/>
  <c r="I11" i="3"/>
  <c r="I12" i="3"/>
  <c r="D12" i="3"/>
  <c r="I13" i="3"/>
  <c r="D13" i="3"/>
  <c r="K8" i="3"/>
  <c r="G8" i="3"/>
  <c r="I8" i="3"/>
  <c r="I9" i="3"/>
  <c r="D9" i="3"/>
  <c r="K10" i="3"/>
  <c r="K12" i="3"/>
  <c r="G12" i="3"/>
  <c r="I10" i="3"/>
  <c r="G13" i="3"/>
  <c r="K13" i="3"/>
  <c r="G7" i="3"/>
  <c r="N7" i="1"/>
  <c r="O7" i="1" s="1"/>
  <c r="O6" i="2"/>
  <c r="P6" i="2" s="1"/>
  <c r="N4" i="1"/>
  <c r="O4" i="1" s="1"/>
  <c r="T3" i="1"/>
  <c r="M6" i="1"/>
  <c r="N9" i="1"/>
  <c r="O9" i="1" s="1"/>
  <c r="M10" i="1"/>
  <c r="U10" i="1"/>
  <c r="V10" i="1" s="1"/>
  <c r="O4" i="2"/>
  <c r="P4" i="2" s="1"/>
  <c r="N5" i="2"/>
  <c r="V5" i="2"/>
  <c r="W5" i="2" s="1"/>
  <c r="U6" i="2"/>
  <c r="O8" i="2"/>
  <c r="P8" i="2" s="1"/>
  <c r="N9" i="2"/>
  <c r="V9" i="2"/>
  <c r="W9" i="2" s="1"/>
  <c r="U10" i="2"/>
  <c r="B7" i="3"/>
  <c r="K7" i="3"/>
  <c r="C8" i="3"/>
  <c r="J8" i="3" s="1"/>
  <c r="K11" i="3"/>
  <c r="O10" i="2"/>
  <c r="U5" i="1"/>
  <c r="V5" i="1" s="1"/>
  <c r="N8" i="1"/>
  <c r="O8" i="1" s="1"/>
  <c r="M2" i="1"/>
  <c r="T7" i="1"/>
  <c r="T2" i="1"/>
  <c r="M3" i="1"/>
  <c r="U3" i="1"/>
  <c r="V3" i="1" s="1"/>
  <c r="T4" i="1"/>
  <c r="N6" i="1"/>
  <c r="O6" i="1" s="1"/>
  <c r="M7" i="1"/>
  <c r="U7" i="1"/>
  <c r="V7" i="1" s="1"/>
  <c r="T8" i="1"/>
  <c r="N10" i="1"/>
  <c r="N2" i="2"/>
  <c r="U3" i="2"/>
  <c r="N6" i="2"/>
  <c r="U7" i="2"/>
  <c r="N10" i="2"/>
  <c r="E5" i="3"/>
  <c r="F6" i="3"/>
  <c r="L6" i="3" s="1"/>
  <c r="E9" i="3"/>
  <c r="F10" i="3"/>
  <c r="L10" i="3" s="1"/>
  <c r="C11" i="3"/>
  <c r="J11" i="3" s="1"/>
  <c r="A13" i="3"/>
  <c r="B5" i="3"/>
  <c r="C6" i="3"/>
  <c r="J6" i="3" s="1"/>
  <c r="F9" i="3"/>
  <c r="L9" i="3" s="1"/>
  <c r="C10" i="3"/>
  <c r="J10" i="3" s="1"/>
  <c r="P10" i="2" l="1"/>
  <c r="A21" i="3"/>
  <c r="I7" i="3"/>
  <c r="D7" i="3"/>
  <c r="D10" i="3"/>
  <c r="D8" i="3"/>
  <c r="D11" i="3"/>
  <c r="G6" i="3"/>
  <c r="I5" i="3"/>
  <c r="D5" i="3"/>
  <c r="O10" i="1"/>
  <c r="A20" i="3" s="1"/>
  <c r="A19" i="3"/>
  <c r="A18" i="3"/>
  <c r="A17" i="3"/>
  <c r="G5" i="3"/>
  <c r="K5" i="3"/>
  <c r="G10" i="3"/>
  <c r="D6" i="3"/>
  <c r="G9" i="3"/>
  <c r="K9" i="3"/>
</calcChain>
</file>

<file path=xl/sharedStrings.xml><?xml version="1.0" encoding="utf-8"?>
<sst xmlns="http://schemas.openxmlformats.org/spreadsheetml/2006/main" count="65" uniqueCount="38">
  <si>
    <t>n</t>
  </si>
  <si>
    <t>repeticion</t>
  </si>
  <si>
    <t>tEnlazada</t>
  </si>
  <si>
    <t>tArreglo</t>
  </si>
  <si>
    <t>redimensionamientos</t>
  </si>
  <si>
    <t>capacidadMaxima</t>
  </si>
  <si>
    <t>enl_min</t>
  </si>
  <si>
    <t>enl_max</t>
  </si>
  <si>
    <t>enl_prom</t>
  </si>
  <si>
    <t>enl_desv</t>
  </si>
  <si>
    <t>enl_CV</t>
  </si>
  <si>
    <t>enl_T(2N)/T(N)</t>
  </si>
  <si>
    <t>enl_log2(ratio)</t>
  </si>
  <si>
    <t>arr_min</t>
  </si>
  <si>
    <t>arr_max</t>
  </si>
  <si>
    <t>arr_prom</t>
  </si>
  <si>
    <t>arr_desv</t>
  </si>
  <si>
    <t>arr_CV</t>
  </si>
  <si>
    <t>arr_T(2N)/T(N)</t>
  </si>
  <si>
    <t>arr_log2(ratio)</t>
  </si>
  <si>
    <t>arr_redim_prom</t>
  </si>
  <si>
    <t>arr_capMax_prom</t>
  </si>
  <si>
    <t>Unidades: todos los tiempos estan en segundos (StopwatchCPU, resolucion de 1/64 s en este equipo). La desviacion estandar es muestral (STDEV, divisor n-1). CV = desviacion / promedio. 'n/d' = no definido porque el promedio previo es 0.</t>
  </si>
  <si>
    <t>seed</t>
  </si>
  <si>
    <t>Laboratorio 2: pilas y filas, lista enlazada vs arreglo</t>
  </si>
  <si>
    <t>Datos del grafico: NA() donde el promedio es 0 (no representable en escala log)</t>
  </si>
  <si>
    <t>Pila enlazada (s)</t>
  </si>
  <si>
    <t>Pila arreglo (s)</t>
  </si>
  <si>
    <t>Pila arreglo/enlazada</t>
  </si>
  <si>
    <t>Fila enlazada (s)</t>
  </si>
  <si>
    <t>Fila arreglo (s)</t>
  </si>
  <si>
    <t>Fila arreglo/enlazada</t>
  </si>
  <si>
    <t>Pila enlazada</t>
  </si>
  <si>
    <t>Pila arreglo</t>
  </si>
  <si>
    <t>Fila enlazada</t>
  </si>
  <si>
    <t>Fila arreglo</t>
  </si>
  <si>
    <t>Sintesis</t>
  </si>
  <si>
    <t>Nota: que ambas implementaciones tengan el mismo orden de crecimiento no implica tiempos identicos; el cociente arreglo/enlazada refleja el factor constante.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</si>
</sst>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i/>
      <sz val="9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3" fontId="2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Pila: tiempo promedio vs n (log-log)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Pila enlazada</c:v>
          </c:tx>
          <c:spPr>
            <a:ln>
              <a:solidFill>
                <a:srgbClr val="1F4E79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Resumen!$A$5:$A$13</c:f>
              <c:numCache>
                <c:formatCode>#,##0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Resumen!$I$5:$I$13</c:f>
              <c:numCache>
                <c:formatCode>0.000000000</c:formatCode>
                <c:ptCount val="9"/>
                <c:pt idx="0">
                  <c:v>5.2083333333333333E-4</c:v>
                </c:pt>
                <c:pt idx="1">
                  <c:v>1.5625000000000001E-3</c:v>
                </c:pt>
                <c:pt idx="2">
                  <c:v>#N/A</c:v>
                </c:pt>
                <c:pt idx="3">
                  <c:v>2.0833333333333333E-3</c:v>
                </c:pt>
                <c:pt idx="4">
                  <c:v>2.0833333333333333E-3</c:v>
                </c:pt>
                <c:pt idx="5">
                  <c:v>7.2916666666666668E-3</c:v>
                </c:pt>
                <c:pt idx="6">
                  <c:v>7.2916666666666668E-3</c:v>
                </c:pt>
                <c:pt idx="7">
                  <c:v>2.1874999999999999E-2</c:v>
                </c:pt>
                <c:pt idx="8">
                  <c:v>2.9687499999999999E-2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E-4411-946C-AABECD7D4063}"/>
            </c:ext>
          </c:extLst>
        </c:ser>
        <c:ser>
          <c:idx val="1"/>
          <c:order val="1"/>
          <c:tx>
            <c:v>Pila arreglo</c:v>
          </c:tx>
          <c:spPr>
            <a:ln>
              <a:solidFill>
                <a:srgbClr val="C55A1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</c:marker>
          <c:xVal>
            <c:numRef>
              <c:f>Resumen!$A$5:$A$13</c:f>
              <c:numCache>
                <c:formatCode>#,##0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Resumen!$J$5:$J$13</c:f>
              <c:numCache>
                <c:formatCode>0.000000000</c:formatCode>
                <c:ptCount val="9"/>
                <c:pt idx="0">
                  <c:v>1.0416666666666667E-3</c:v>
                </c:pt>
                <c:pt idx="1">
                  <c:v>5.2083333333333333E-4</c:v>
                </c:pt>
                <c:pt idx="2">
                  <c:v>4.1666666666666666E-3</c:v>
                </c:pt>
                <c:pt idx="3">
                  <c:v>1.0416666666666667E-3</c:v>
                </c:pt>
                <c:pt idx="4">
                  <c:v>3.6458333333333334E-3</c:v>
                </c:pt>
                <c:pt idx="5">
                  <c:v>4.6874999999999998E-3</c:v>
                </c:pt>
                <c:pt idx="6">
                  <c:v>8.8541666666666664E-3</c:v>
                </c:pt>
                <c:pt idx="7">
                  <c:v>2.34375E-2</c:v>
                </c:pt>
                <c:pt idx="8">
                  <c:v>3.5416666666666666E-2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1E-4411-946C-AABECD7D4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2"/>
          <c:orientation val="minMax"/>
          <c:max val="262144"/>
          <c:min val="102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n (log, base 2)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20"/>
        <c:crosses val="min"/>
        <c:crossBetween val="midCat"/>
      </c:valAx>
      <c:valAx>
        <c:axId val="20"/>
        <c:scaling>
          <c:logBase val="10"/>
          <c:orientation val="minMax"/>
          <c:max val="1"/>
          <c:min val="1E-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Tiempo promedio (s, log10)</a:t>
                </a:r>
              </a:p>
            </c:rich>
          </c:tx>
          <c:overlay val="0"/>
        </c:title>
        <c:numFmt formatCode="0.0E+00" sourceLinked="0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Fila (BFS): tiempo promedio vs n (log-log)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Fila enlazada</c:v>
          </c:tx>
          <c:spPr>
            <a:ln>
              <a:solidFill>
                <a:srgbClr val="1F4E79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xVal>
            <c:numRef>
              <c:f>Resumen!$A$5:$A$13</c:f>
              <c:numCache>
                <c:formatCode>#,##0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Resumen!$K$5:$K$13</c:f>
              <c:numCache>
                <c:formatCode>0.000000000</c:formatCode>
                <c:ptCount val="9"/>
                <c:pt idx="0">
                  <c:v>5.2083333333333333E-4</c:v>
                </c:pt>
                <c:pt idx="1">
                  <c:v>1.5625000000000001E-3</c:v>
                </c:pt>
                <c:pt idx="2">
                  <c:v>1.0416666666666667E-3</c:v>
                </c:pt>
                <c:pt idx="3">
                  <c:v>2.6041666666666665E-3</c:v>
                </c:pt>
                <c:pt idx="4">
                  <c:v>5.208333333333333E-3</c:v>
                </c:pt>
                <c:pt idx="5">
                  <c:v>9.3749999999999997E-3</c:v>
                </c:pt>
                <c:pt idx="6">
                  <c:v>1.6145833333333335E-2</c:v>
                </c:pt>
                <c:pt idx="7">
                  <c:v>4.0625000000000001E-2</c:v>
                </c:pt>
                <c:pt idx="8">
                  <c:v>8.8541666666666671E-2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9-4F8C-9F0B-1D9FD2C55780}"/>
            </c:ext>
          </c:extLst>
        </c:ser>
        <c:ser>
          <c:idx val="1"/>
          <c:order val="1"/>
          <c:tx>
            <c:v>Fila arreglo</c:v>
          </c:tx>
          <c:spPr>
            <a:ln>
              <a:solidFill>
                <a:srgbClr val="C55A11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c:spPr>
          </c:marker>
          <c:xVal>
            <c:numRef>
              <c:f>Resumen!$A$5:$A$13</c:f>
              <c:numCache>
                <c:formatCode>#,##0</c:formatCode>
                <c:ptCount val="9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</c:numCache>
            </c:numRef>
          </c:xVal>
          <c:yVal>
            <c:numRef>
              <c:f>Resumen!$L$5:$L$13</c:f>
              <c:numCache>
                <c:formatCode>0.000000000</c:formatCode>
                <c:ptCount val="9"/>
                <c:pt idx="0">
                  <c:v>1.0416666666666667E-3</c:v>
                </c:pt>
                <c:pt idx="1">
                  <c:v>#N/A</c:v>
                </c:pt>
                <c:pt idx="2">
                  <c:v>2.0833333333333333E-3</c:v>
                </c:pt>
                <c:pt idx="3">
                  <c:v>2.0833333333333333E-3</c:v>
                </c:pt>
                <c:pt idx="4">
                  <c:v>5.208333333333333E-3</c:v>
                </c:pt>
                <c:pt idx="5">
                  <c:v>8.8541666666666664E-3</c:v>
                </c:pt>
                <c:pt idx="6">
                  <c:v>1.8229166666666668E-2</c:v>
                </c:pt>
                <c:pt idx="7">
                  <c:v>3.802083333333333E-2</c:v>
                </c:pt>
                <c:pt idx="8">
                  <c:v>8.6458333333333331E-2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9-4F8C-9F0B-1D9FD2C55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2"/>
          <c:orientation val="minMax"/>
          <c:max val="262144"/>
          <c:min val="102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n (log, base 2)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low"/>
        <c:crossAx val="20"/>
        <c:crosses val="min"/>
        <c:crossBetween val="midCat"/>
      </c:valAx>
      <c:valAx>
        <c:axId val="20"/>
        <c:scaling>
          <c:logBase val="10"/>
          <c:orientation val="minMax"/>
          <c:max val="1"/>
          <c:min val="1E-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Tiempo promedio (s, log10)</a:t>
                </a:r>
              </a:p>
            </c:rich>
          </c:tx>
          <c:overlay val="0"/>
        </c:title>
        <c:numFmt formatCode="0.0E+00" sourceLinked="0"/>
        <c:majorTickMark val="none"/>
        <c:minorTickMark val="none"/>
        <c:tickLblPos val="nextTo"/>
        <c:crossAx val="10"/>
        <c:crosses val="min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27</xdr:row>
      <xdr:rowOff>0</xdr:rowOff>
    </xdr:from>
    <xdr:ext cx="612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6" width="14" customWidth="1"/>
    <col min="7" max="7" width="3" customWidth="1"/>
    <col min="8" max="24" width="15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0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</row>
    <row r="2" spans="1:24" x14ac:dyDescent="0.25">
      <c r="A2" s="4">
        <v>1024</v>
      </c>
      <c r="B2" s="4">
        <v>0</v>
      </c>
      <c r="C2" s="5">
        <v>0</v>
      </c>
      <c r="D2" s="5">
        <v>0</v>
      </c>
      <c r="E2" s="4">
        <v>18</v>
      </c>
      <c r="F2" s="4">
        <v>1024</v>
      </c>
      <c r="H2" s="4">
        <f>A2</f>
        <v>1024</v>
      </c>
      <c r="I2" s="6">
        <f>MIN(C2:C31)</f>
        <v>0</v>
      </c>
      <c r="J2" s="6">
        <f>MAX(C2:C31)</f>
        <v>1.5625E-2</v>
      </c>
      <c r="K2" s="6">
        <f>AVERAGE(C2:C31)</f>
        <v>5.2083333333333333E-4</v>
      </c>
      <c r="L2" s="6">
        <f>STDEV(C2:C31)</f>
        <v>2.85272165367274E-3</v>
      </c>
      <c r="M2" s="7">
        <f t="shared" ref="M2:M10" si="0">IF(K2&gt;0,L2/K2,"n/d")</f>
        <v>5.4772255750516612</v>
      </c>
      <c r="N2" s="7"/>
      <c r="O2" s="7"/>
      <c r="P2" s="6">
        <f>MIN(D2:D31)</f>
        <v>0</v>
      </c>
      <c r="Q2" s="6">
        <f>MAX(D2:D31)</f>
        <v>1.5625E-2</v>
      </c>
      <c r="R2" s="6">
        <f>AVERAGE(D2:D31)</f>
        <v>1.0416666666666667E-3</v>
      </c>
      <c r="S2" s="6">
        <f>STDEV(D2:D31)</f>
        <v>3.9641895578509754E-3</v>
      </c>
      <c r="T2" s="7">
        <f t="shared" ref="T2:T10" si="1">IF(R2&gt;0,S2/R2,"n/d")</f>
        <v>3.8056219755369365</v>
      </c>
      <c r="U2" s="7"/>
      <c r="V2" s="7"/>
      <c r="W2" s="8">
        <f>AVERAGE(E2:E31)</f>
        <v>18</v>
      </c>
      <c r="X2" s="8">
        <f>AVERAGE(F2:F31)</f>
        <v>1024</v>
      </c>
    </row>
    <row r="3" spans="1:24" x14ac:dyDescent="0.25">
      <c r="A3" s="4">
        <v>1024</v>
      </c>
      <c r="B3" s="4">
        <v>1</v>
      </c>
      <c r="C3" s="5">
        <v>0</v>
      </c>
      <c r="D3" s="5">
        <v>0</v>
      </c>
      <c r="E3" s="4">
        <v>18</v>
      </c>
      <c r="F3" s="4">
        <v>1024</v>
      </c>
      <c r="H3" s="4">
        <f>A32</f>
        <v>2048</v>
      </c>
      <c r="I3" s="6">
        <f>MIN(C32:C61)</f>
        <v>0</v>
      </c>
      <c r="J3" s="6">
        <f>MAX(C32:C61)</f>
        <v>1.5625E-2</v>
      </c>
      <c r="K3" s="6">
        <f>AVERAGE(C32:C61)</f>
        <v>1.5625000000000001E-3</v>
      </c>
      <c r="L3" s="6">
        <f>STDEV(C32:C61)</f>
        <v>4.7676340098338228E-3</v>
      </c>
      <c r="M3" s="7">
        <f t="shared" si="0"/>
        <v>3.0512857662936463</v>
      </c>
      <c r="N3" s="7">
        <f t="shared" ref="N3:N10" si="2">IF(K2&gt;0,K3/K2,"n/d")</f>
        <v>3</v>
      </c>
      <c r="O3" s="7">
        <f t="shared" ref="O3:O10" si="3">IF(ISNUMBER(N3),IF(N3&gt;0,LOG(N3,2),"n/d"),"n/d")</f>
        <v>1.5849625007211563</v>
      </c>
      <c r="P3" s="6">
        <f>MIN(D32:D61)</f>
        <v>0</v>
      </c>
      <c r="Q3" s="6">
        <f>MAX(D32:D61)</f>
        <v>1.5625E-2</v>
      </c>
      <c r="R3" s="6">
        <f>AVERAGE(D32:D61)</f>
        <v>5.2083333333333333E-4</v>
      </c>
      <c r="S3" s="6">
        <f>STDEV(D32:D61)</f>
        <v>2.85272165367274E-3</v>
      </c>
      <c r="T3" s="7">
        <f t="shared" si="1"/>
        <v>5.4772255750516612</v>
      </c>
      <c r="U3" s="7">
        <f t="shared" ref="U3:U10" si="4">IF(R2&gt;0,R3/R2,"n/d")</f>
        <v>0.5</v>
      </c>
      <c r="V3" s="7">
        <f t="shared" ref="V3:V10" si="5">IF(ISNUMBER(U3),IF(U3&gt;0,LOG(U3,2),"n/d"),"n/d")</f>
        <v>-1</v>
      </c>
      <c r="W3" s="8">
        <f>AVERAGE(E32:E61)</f>
        <v>20</v>
      </c>
      <c r="X3" s="8">
        <f>AVERAGE(F32:F61)</f>
        <v>2048</v>
      </c>
    </row>
    <row r="4" spans="1:24" x14ac:dyDescent="0.25">
      <c r="A4" s="4">
        <v>1024</v>
      </c>
      <c r="B4" s="4">
        <v>2</v>
      </c>
      <c r="C4" s="5">
        <v>0</v>
      </c>
      <c r="D4" s="5">
        <v>0</v>
      </c>
      <c r="E4" s="4">
        <v>18</v>
      </c>
      <c r="F4" s="4">
        <v>1024</v>
      </c>
      <c r="H4" s="4">
        <f>A62</f>
        <v>4096</v>
      </c>
      <c r="I4" s="6">
        <f>MIN(C62:C91)</f>
        <v>0</v>
      </c>
      <c r="J4" s="6">
        <f>MAX(C62:C91)</f>
        <v>0</v>
      </c>
      <c r="K4" s="6">
        <f>AVERAGE(C62:C91)</f>
        <v>0</v>
      </c>
      <c r="L4" s="6">
        <f>STDEV(C62:C91)</f>
        <v>0</v>
      </c>
      <c r="M4" s="7" t="str">
        <f t="shared" si="0"/>
        <v>n/d</v>
      </c>
      <c r="N4" s="7">
        <f t="shared" si="2"/>
        <v>0</v>
      </c>
      <c r="O4" s="7" t="str">
        <f t="shared" si="3"/>
        <v>n/d</v>
      </c>
      <c r="P4" s="6">
        <f>MIN(D62:D91)</f>
        <v>0</v>
      </c>
      <c r="Q4" s="6">
        <f>MAX(D62:D91)</f>
        <v>1.5625E-2</v>
      </c>
      <c r="R4" s="6">
        <f>AVERAGE(D62:D91)</f>
        <v>4.1666666666666666E-3</v>
      </c>
      <c r="S4" s="6">
        <f>STDEV(D62:D91)</f>
        <v>7.0277569548250571E-3</v>
      </c>
      <c r="T4" s="7">
        <f t="shared" si="1"/>
        <v>1.6866616691580136</v>
      </c>
      <c r="U4" s="7">
        <f t="shared" si="4"/>
        <v>8</v>
      </c>
      <c r="V4" s="7">
        <f t="shared" si="5"/>
        <v>3</v>
      </c>
      <c r="W4" s="8">
        <f>AVERAGE(E62:E91)</f>
        <v>22</v>
      </c>
      <c r="X4" s="8">
        <f>AVERAGE(F62:F91)</f>
        <v>4096</v>
      </c>
    </row>
    <row r="5" spans="1:24" x14ac:dyDescent="0.25">
      <c r="A5" s="4">
        <v>1024</v>
      </c>
      <c r="B5" s="4">
        <v>3</v>
      </c>
      <c r="C5" s="5">
        <v>0</v>
      </c>
      <c r="D5" s="5">
        <v>0</v>
      </c>
      <c r="E5" s="4">
        <v>18</v>
      </c>
      <c r="F5" s="4">
        <v>1024</v>
      </c>
      <c r="H5" s="4">
        <f>A92</f>
        <v>8192</v>
      </c>
      <c r="I5" s="6">
        <f>MIN(C92:C121)</f>
        <v>0</v>
      </c>
      <c r="J5" s="6">
        <f>MAX(C92:C121)</f>
        <v>1.5625E-2</v>
      </c>
      <c r="K5" s="6">
        <f>AVERAGE(C92:C121)</f>
        <v>2.0833333333333333E-3</v>
      </c>
      <c r="L5" s="6">
        <f>STDEV(C92:C121)</f>
        <v>5.4022797444025061E-3</v>
      </c>
      <c r="M5" s="7">
        <f t="shared" si="0"/>
        <v>2.5930942773132029</v>
      </c>
      <c r="N5" s="7" t="str">
        <f t="shared" si="2"/>
        <v>n/d</v>
      </c>
      <c r="O5" s="7" t="str">
        <f t="shared" si="3"/>
        <v>n/d</v>
      </c>
      <c r="P5" s="6">
        <f>MIN(D92:D121)</f>
        <v>0</v>
      </c>
      <c r="Q5" s="6">
        <f>MAX(D92:D121)</f>
        <v>1.5625E-2</v>
      </c>
      <c r="R5" s="6">
        <f>AVERAGE(D92:D121)</f>
        <v>1.0416666666666667E-3</v>
      </c>
      <c r="S5" s="6">
        <f>STDEV(D92:D121)</f>
        <v>3.9641895578509754E-3</v>
      </c>
      <c r="T5" s="7">
        <f t="shared" si="1"/>
        <v>3.8056219755369365</v>
      </c>
      <c r="U5" s="7">
        <f t="shared" si="4"/>
        <v>0.25</v>
      </c>
      <c r="V5" s="7">
        <f t="shared" si="5"/>
        <v>-2</v>
      </c>
      <c r="W5" s="8">
        <f>AVERAGE(E92:E121)</f>
        <v>24</v>
      </c>
      <c r="X5" s="8">
        <f>AVERAGE(F92:F121)</f>
        <v>8192</v>
      </c>
    </row>
    <row r="6" spans="1:24" x14ac:dyDescent="0.25">
      <c r="A6" s="4">
        <v>1024</v>
      </c>
      <c r="B6" s="4">
        <v>4</v>
      </c>
      <c r="C6" s="5">
        <v>1.5625E-2</v>
      </c>
      <c r="D6" s="5">
        <v>0</v>
      </c>
      <c r="E6" s="4">
        <v>18</v>
      </c>
      <c r="F6" s="4">
        <v>1024</v>
      </c>
      <c r="H6" s="4">
        <f>A122</f>
        <v>16384</v>
      </c>
      <c r="I6" s="6">
        <f>MIN(C122:C151)</f>
        <v>0</v>
      </c>
      <c r="J6" s="6">
        <f>MAX(C122:C151)</f>
        <v>1.5625E-2</v>
      </c>
      <c r="K6" s="6">
        <f>AVERAGE(C122:C151)</f>
        <v>2.0833333333333333E-3</v>
      </c>
      <c r="L6" s="6">
        <f>STDEV(C122:C151)</f>
        <v>5.4022797444025061E-3</v>
      </c>
      <c r="M6" s="7">
        <f t="shared" si="0"/>
        <v>2.5930942773132029</v>
      </c>
      <c r="N6" s="7">
        <f t="shared" si="2"/>
        <v>1</v>
      </c>
      <c r="O6" s="7">
        <f t="shared" si="3"/>
        <v>0</v>
      </c>
      <c r="P6" s="6">
        <f>MIN(D122:D151)</f>
        <v>0</v>
      </c>
      <c r="Q6" s="6">
        <f>MAX(D122:D151)</f>
        <v>1.5625E-2</v>
      </c>
      <c r="R6" s="6">
        <f>AVERAGE(D122:D151)</f>
        <v>3.6458333333333334E-3</v>
      </c>
      <c r="S6" s="6">
        <f>STDEV(D122:D151)</f>
        <v>6.7216104242511935E-3</v>
      </c>
      <c r="T6" s="7">
        <f t="shared" si="1"/>
        <v>1.8436417163660417</v>
      </c>
      <c r="U6" s="7">
        <f t="shared" si="4"/>
        <v>3.5</v>
      </c>
      <c r="V6" s="7">
        <f t="shared" si="5"/>
        <v>1.8073549220576042</v>
      </c>
      <c r="W6" s="8">
        <f>AVERAGE(E122:E151)</f>
        <v>26</v>
      </c>
      <c r="X6" s="8">
        <f>AVERAGE(F122:F151)</f>
        <v>16384</v>
      </c>
    </row>
    <row r="7" spans="1:24" x14ac:dyDescent="0.25">
      <c r="A7" s="4">
        <v>1024</v>
      </c>
      <c r="B7" s="4">
        <v>5</v>
      </c>
      <c r="C7" s="5">
        <v>0</v>
      </c>
      <c r="D7" s="5">
        <v>0</v>
      </c>
      <c r="E7" s="4">
        <v>18</v>
      </c>
      <c r="F7" s="4">
        <v>1024</v>
      </c>
      <c r="H7" s="4">
        <f>A152</f>
        <v>32768</v>
      </c>
      <c r="I7" s="6">
        <f>MIN(C152:C181)</f>
        <v>0</v>
      </c>
      <c r="J7" s="6">
        <f>MAX(C152:C181)</f>
        <v>1.5625E-2</v>
      </c>
      <c r="K7" s="6">
        <f>AVERAGE(C152:C181)</f>
        <v>7.2916666666666668E-3</v>
      </c>
      <c r="L7" s="6">
        <f>STDEV(C152:C181)</f>
        <v>7.9283791157019508E-3</v>
      </c>
      <c r="M7" s="7">
        <f t="shared" si="0"/>
        <v>1.0873205644391246</v>
      </c>
      <c r="N7" s="7">
        <f t="shared" si="2"/>
        <v>3.5</v>
      </c>
      <c r="O7" s="7">
        <f t="shared" si="3"/>
        <v>1.8073549220576042</v>
      </c>
      <c r="P7" s="6">
        <f>MIN(D152:D181)</f>
        <v>0</v>
      </c>
      <c r="Q7" s="6">
        <f>MAX(D152:D181)</f>
        <v>1.5625E-2</v>
      </c>
      <c r="R7" s="6">
        <f>AVERAGE(D152:D181)</f>
        <v>4.6874999999999998E-3</v>
      </c>
      <c r="S7" s="6">
        <f>STDEV(D152:D181)</f>
        <v>7.2826812453031095E-3</v>
      </c>
      <c r="T7" s="7">
        <f t="shared" si="1"/>
        <v>1.5536386656646635</v>
      </c>
      <c r="U7" s="7">
        <f t="shared" si="4"/>
        <v>1.2857142857142856</v>
      </c>
      <c r="V7" s="7">
        <f t="shared" si="5"/>
        <v>0.36257007938470814</v>
      </c>
      <c r="W7" s="8">
        <f>AVERAGE(E152:E181)</f>
        <v>28</v>
      </c>
      <c r="X7" s="8">
        <f>AVERAGE(F152:F181)</f>
        <v>32768</v>
      </c>
    </row>
    <row r="8" spans="1:24" x14ac:dyDescent="0.25">
      <c r="A8" s="4">
        <v>1024</v>
      </c>
      <c r="B8" s="4">
        <v>6</v>
      </c>
      <c r="C8" s="5">
        <v>0</v>
      </c>
      <c r="D8" s="5">
        <v>0</v>
      </c>
      <c r="E8" s="4">
        <v>18</v>
      </c>
      <c r="F8" s="4">
        <v>1024</v>
      </c>
      <c r="H8" s="4">
        <f>A182</f>
        <v>65536</v>
      </c>
      <c r="I8" s="6">
        <f>MIN(C182:C211)</f>
        <v>0</v>
      </c>
      <c r="J8" s="6">
        <f>MAX(C182:C211)</f>
        <v>1.5625E-2</v>
      </c>
      <c r="K8" s="6">
        <f>AVERAGE(C182:C211)</f>
        <v>7.2916666666666668E-3</v>
      </c>
      <c r="L8" s="6">
        <f>STDEV(C182:C211)</f>
        <v>7.9283791157019508E-3</v>
      </c>
      <c r="M8" s="7">
        <f t="shared" si="0"/>
        <v>1.0873205644391246</v>
      </c>
      <c r="N8" s="7">
        <f t="shared" si="2"/>
        <v>1</v>
      </c>
      <c r="O8" s="7">
        <f t="shared" si="3"/>
        <v>0</v>
      </c>
      <c r="P8" s="6">
        <f>MIN(D182:D211)</f>
        <v>0</v>
      </c>
      <c r="Q8" s="6">
        <f>MAX(D182:D211)</f>
        <v>1.5625E-2</v>
      </c>
      <c r="R8" s="6">
        <f>AVERAGE(D182:D211)</f>
        <v>8.8541666666666664E-3</v>
      </c>
      <c r="S8" s="6">
        <f>STDEV(D182:D211)</f>
        <v>7.8751083280270452E-3</v>
      </c>
      <c r="T8" s="7">
        <f t="shared" si="1"/>
        <v>0.8894239994007016</v>
      </c>
      <c r="U8" s="7">
        <f t="shared" si="4"/>
        <v>1.8888888888888888</v>
      </c>
      <c r="V8" s="7">
        <f t="shared" si="5"/>
        <v>0.91753783980802706</v>
      </c>
      <c r="W8" s="8">
        <f>AVERAGE(E182:E211)</f>
        <v>30</v>
      </c>
      <c r="X8" s="8">
        <f>AVERAGE(F182:F211)</f>
        <v>65536</v>
      </c>
    </row>
    <row r="9" spans="1:24" x14ac:dyDescent="0.25">
      <c r="A9" s="4">
        <v>1024</v>
      </c>
      <c r="B9" s="4">
        <v>7</v>
      </c>
      <c r="C9" s="5">
        <v>0</v>
      </c>
      <c r="D9" s="5">
        <v>0</v>
      </c>
      <c r="E9" s="4">
        <v>18</v>
      </c>
      <c r="F9" s="4">
        <v>1024</v>
      </c>
      <c r="H9" s="4">
        <f>A212</f>
        <v>131072</v>
      </c>
      <c r="I9" s="6">
        <f>MIN(C212:C241)</f>
        <v>0</v>
      </c>
      <c r="J9" s="6">
        <f>MAX(C212:C241)</f>
        <v>4.6875E-2</v>
      </c>
      <c r="K9" s="6">
        <f>AVERAGE(C212:C241)</f>
        <v>2.1874999999999999E-2</v>
      </c>
      <c r="L9" s="6">
        <f>STDEV(C212:C241)</f>
        <v>1.2713690692890196E-2</v>
      </c>
      <c r="M9" s="7">
        <f t="shared" si="0"/>
        <v>0.58119728881783761</v>
      </c>
      <c r="N9" s="7">
        <f t="shared" si="2"/>
        <v>2.9999999999999996</v>
      </c>
      <c r="O9" s="7">
        <f t="shared" si="3"/>
        <v>1.5849625007211561</v>
      </c>
      <c r="P9" s="6">
        <f>MIN(D212:D241)</f>
        <v>0</v>
      </c>
      <c r="Q9" s="6">
        <f>MAX(D212:D241)</f>
        <v>4.6875E-2</v>
      </c>
      <c r="R9" s="6">
        <f>AVERAGE(D212:D241)</f>
        <v>2.34375E-2</v>
      </c>
      <c r="S9" s="6">
        <f>STDEV(D212:D241)</f>
        <v>1.2137802075505183E-2</v>
      </c>
      <c r="T9" s="7">
        <f t="shared" si="1"/>
        <v>0.51787955522155449</v>
      </c>
      <c r="U9" s="7">
        <f t="shared" si="4"/>
        <v>2.6470588235294117</v>
      </c>
      <c r="V9" s="7">
        <f t="shared" si="5"/>
        <v>1.4043902550793355</v>
      </c>
      <c r="W9" s="8">
        <f>AVERAGE(E212:E241)</f>
        <v>32</v>
      </c>
      <c r="X9" s="8">
        <f>AVERAGE(F212:F241)</f>
        <v>131072</v>
      </c>
    </row>
    <row r="10" spans="1:24" x14ac:dyDescent="0.25">
      <c r="A10" s="4">
        <v>1024</v>
      </c>
      <c r="B10" s="4">
        <v>8</v>
      </c>
      <c r="C10" s="5">
        <v>0</v>
      </c>
      <c r="D10" s="5">
        <v>0</v>
      </c>
      <c r="E10" s="4">
        <v>18</v>
      </c>
      <c r="F10" s="4">
        <v>1024</v>
      </c>
      <c r="H10" s="4">
        <f>A242</f>
        <v>262144</v>
      </c>
      <c r="I10" s="6">
        <f>MIN(C242:C271)</f>
        <v>1.5625E-2</v>
      </c>
      <c r="J10" s="6">
        <f>MAX(C242:C271)</f>
        <v>4.6875E-2</v>
      </c>
      <c r="K10" s="6">
        <f>AVERAGE(C242:C271)</f>
        <v>2.9687499999999999E-2</v>
      </c>
      <c r="L10" s="6">
        <f>STDEV(C242:C271)</f>
        <v>9.49102059753105E-3</v>
      </c>
      <c r="M10" s="7">
        <f t="shared" si="0"/>
        <v>0.31969753591683536</v>
      </c>
      <c r="N10" s="7">
        <f t="shared" si="2"/>
        <v>1.3571428571428572</v>
      </c>
      <c r="O10" s="7">
        <f t="shared" si="3"/>
        <v>0.44057259138598148</v>
      </c>
      <c r="P10" s="6">
        <f>MIN(D242:D271)</f>
        <v>1.5625E-2</v>
      </c>
      <c r="Q10" s="6">
        <f>MAX(D242:D271)</f>
        <v>6.25E-2</v>
      </c>
      <c r="R10" s="6">
        <f>AVERAGE(D242:D271)</f>
        <v>3.5416666666666666E-2</v>
      </c>
      <c r="S10" s="6">
        <f>STDEV(D242:D271)</f>
        <v>1.1557499306938552E-2</v>
      </c>
      <c r="T10" s="7">
        <f t="shared" si="1"/>
        <v>0.32632939219591206</v>
      </c>
      <c r="U10" s="7">
        <f t="shared" si="4"/>
        <v>1.5111111111111111</v>
      </c>
      <c r="V10" s="7">
        <f t="shared" si="5"/>
        <v>0.59560974492066465</v>
      </c>
      <c r="W10" s="8">
        <f>AVERAGE(E242:E271)</f>
        <v>34</v>
      </c>
      <c r="X10" s="8">
        <f>AVERAGE(F242:F271)</f>
        <v>262144</v>
      </c>
    </row>
    <row r="11" spans="1:24" x14ac:dyDescent="0.25">
      <c r="A11" s="4">
        <v>1024</v>
      </c>
      <c r="B11" s="4">
        <v>9</v>
      </c>
      <c r="C11" s="5">
        <v>0</v>
      </c>
      <c r="D11" s="5">
        <v>0</v>
      </c>
      <c r="E11" s="4">
        <v>18</v>
      </c>
      <c r="F11" s="4">
        <v>1024</v>
      </c>
    </row>
    <row r="12" spans="1:24" x14ac:dyDescent="0.25">
      <c r="A12" s="4">
        <v>1024</v>
      </c>
      <c r="B12" s="4">
        <v>10</v>
      </c>
      <c r="C12" s="5">
        <v>0</v>
      </c>
      <c r="D12" s="5">
        <v>0</v>
      </c>
      <c r="E12" s="4">
        <v>18</v>
      </c>
      <c r="F12" s="4">
        <v>1024</v>
      </c>
      <c r="H12" s="9" t="s">
        <v>22</v>
      </c>
    </row>
    <row r="13" spans="1:24" x14ac:dyDescent="0.25">
      <c r="A13" s="4">
        <v>1024</v>
      </c>
      <c r="B13" s="4">
        <v>11</v>
      </c>
      <c r="C13" s="5">
        <v>0</v>
      </c>
      <c r="D13" s="5">
        <v>1.5625E-2</v>
      </c>
      <c r="E13" s="4">
        <v>18</v>
      </c>
      <c r="F13" s="4">
        <v>1024</v>
      </c>
    </row>
    <row r="14" spans="1:24" x14ac:dyDescent="0.25">
      <c r="A14" s="4">
        <v>1024</v>
      </c>
      <c r="B14" s="4">
        <v>12</v>
      </c>
      <c r="C14" s="5">
        <v>0</v>
      </c>
      <c r="D14" s="5">
        <v>0</v>
      </c>
      <c r="E14" s="4">
        <v>18</v>
      </c>
      <c r="F14" s="4">
        <v>1024</v>
      </c>
    </row>
    <row r="15" spans="1:24" x14ac:dyDescent="0.25">
      <c r="A15" s="4">
        <v>1024</v>
      </c>
      <c r="B15" s="4">
        <v>13</v>
      </c>
      <c r="C15" s="5">
        <v>0</v>
      </c>
      <c r="D15" s="5">
        <v>0</v>
      </c>
      <c r="E15" s="4">
        <v>18</v>
      </c>
      <c r="F15" s="4">
        <v>1024</v>
      </c>
    </row>
    <row r="16" spans="1:24" x14ac:dyDescent="0.25">
      <c r="A16" s="4">
        <v>1024</v>
      </c>
      <c r="B16" s="4">
        <v>14</v>
      </c>
      <c r="C16" s="5">
        <v>0</v>
      </c>
      <c r="D16" s="5">
        <v>0</v>
      </c>
      <c r="E16" s="4">
        <v>18</v>
      </c>
      <c r="F16" s="4">
        <v>1024</v>
      </c>
    </row>
    <row r="17" spans="1:6" x14ac:dyDescent="0.25">
      <c r="A17" s="4">
        <v>1024</v>
      </c>
      <c r="B17" s="4">
        <v>15</v>
      </c>
      <c r="C17" s="5">
        <v>0</v>
      </c>
      <c r="D17" s="5">
        <v>0</v>
      </c>
      <c r="E17" s="4">
        <v>18</v>
      </c>
      <c r="F17" s="4">
        <v>1024</v>
      </c>
    </row>
    <row r="18" spans="1:6" x14ac:dyDescent="0.25">
      <c r="A18" s="4">
        <v>1024</v>
      </c>
      <c r="B18" s="4">
        <v>16</v>
      </c>
      <c r="C18" s="5">
        <v>0</v>
      </c>
      <c r="D18" s="5">
        <v>0</v>
      </c>
      <c r="E18" s="4">
        <v>18</v>
      </c>
      <c r="F18" s="4">
        <v>1024</v>
      </c>
    </row>
    <row r="19" spans="1:6" x14ac:dyDescent="0.25">
      <c r="A19" s="4">
        <v>1024</v>
      </c>
      <c r="B19" s="4">
        <v>17</v>
      </c>
      <c r="C19" s="5">
        <v>0</v>
      </c>
      <c r="D19" s="5">
        <v>0</v>
      </c>
      <c r="E19" s="4">
        <v>18</v>
      </c>
      <c r="F19" s="4">
        <v>1024</v>
      </c>
    </row>
    <row r="20" spans="1:6" x14ac:dyDescent="0.25">
      <c r="A20" s="4">
        <v>1024</v>
      </c>
      <c r="B20" s="4">
        <v>18</v>
      </c>
      <c r="C20" s="5">
        <v>0</v>
      </c>
      <c r="D20" s="5">
        <v>0</v>
      </c>
      <c r="E20" s="4">
        <v>18</v>
      </c>
      <c r="F20" s="4">
        <v>1024</v>
      </c>
    </row>
    <row r="21" spans="1:6" x14ac:dyDescent="0.25">
      <c r="A21" s="4">
        <v>1024</v>
      </c>
      <c r="B21" s="4">
        <v>19</v>
      </c>
      <c r="C21" s="5">
        <v>0</v>
      </c>
      <c r="D21" s="5">
        <v>0</v>
      </c>
      <c r="E21" s="4">
        <v>18</v>
      </c>
      <c r="F21" s="4">
        <v>1024</v>
      </c>
    </row>
    <row r="22" spans="1:6" x14ac:dyDescent="0.25">
      <c r="A22" s="4">
        <v>1024</v>
      </c>
      <c r="B22" s="4">
        <v>20</v>
      </c>
      <c r="C22" s="5">
        <v>0</v>
      </c>
      <c r="D22" s="5">
        <v>0</v>
      </c>
      <c r="E22" s="4">
        <v>18</v>
      </c>
      <c r="F22" s="4">
        <v>1024</v>
      </c>
    </row>
    <row r="23" spans="1:6" x14ac:dyDescent="0.25">
      <c r="A23" s="4">
        <v>1024</v>
      </c>
      <c r="B23" s="4">
        <v>21</v>
      </c>
      <c r="C23" s="5">
        <v>0</v>
      </c>
      <c r="D23" s="5">
        <v>0</v>
      </c>
      <c r="E23" s="4">
        <v>18</v>
      </c>
      <c r="F23" s="4">
        <v>1024</v>
      </c>
    </row>
    <row r="24" spans="1:6" x14ac:dyDescent="0.25">
      <c r="A24" s="4">
        <v>1024</v>
      </c>
      <c r="B24" s="4">
        <v>22</v>
      </c>
      <c r="C24" s="5">
        <v>0</v>
      </c>
      <c r="D24" s="5">
        <v>0</v>
      </c>
      <c r="E24" s="4">
        <v>18</v>
      </c>
      <c r="F24" s="4">
        <v>1024</v>
      </c>
    </row>
    <row r="25" spans="1:6" x14ac:dyDescent="0.25">
      <c r="A25" s="4">
        <v>1024</v>
      </c>
      <c r="B25" s="4">
        <v>23</v>
      </c>
      <c r="C25" s="5">
        <v>0</v>
      </c>
      <c r="D25" s="5">
        <v>0</v>
      </c>
      <c r="E25" s="4">
        <v>18</v>
      </c>
      <c r="F25" s="4">
        <v>1024</v>
      </c>
    </row>
    <row r="26" spans="1:6" x14ac:dyDescent="0.25">
      <c r="A26" s="4">
        <v>1024</v>
      </c>
      <c r="B26" s="4">
        <v>24</v>
      </c>
      <c r="C26" s="5">
        <v>0</v>
      </c>
      <c r="D26" s="5">
        <v>0</v>
      </c>
      <c r="E26" s="4">
        <v>18</v>
      </c>
      <c r="F26" s="4">
        <v>1024</v>
      </c>
    </row>
    <row r="27" spans="1:6" x14ac:dyDescent="0.25">
      <c r="A27" s="4">
        <v>1024</v>
      </c>
      <c r="B27" s="4">
        <v>25</v>
      </c>
      <c r="C27" s="5">
        <v>0</v>
      </c>
      <c r="D27" s="5">
        <v>0</v>
      </c>
      <c r="E27" s="4">
        <v>18</v>
      </c>
      <c r="F27" s="4">
        <v>1024</v>
      </c>
    </row>
    <row r="28" spans="1:6" x14ac:dyDescent="0.25">
      <c r="A28" s="4">
        <v>1024</v>
      </c>
      <c r="B28" s="4">
        <v>26</v>
      </c>
      <c r="C28" s="5">
        <v>0</v>
      </c>
      <c r="D28" s="5">
        <v>1.5625E-2</v>
      </c>
      <c r="E28" s="4">
        <v>18</v>
      </c>
      <c r="F28" s="4">
        <v>1024</v>
      </c>
    </row>
    <row r="29" spans="1:6" x14ac:dyDescent="0.25">
      <c r="A29" s="4">
        <v>1024</v>
      </c>
      <c r="B29" s="4">
        <v>27</v>
      </c>
      <c r="C29" s="5">
        <v>0</v>
      </c>
      <c r="D29" s="5">
        <v>0</v>
      </c>
      <c r="E29" s="4">
        <v>18</v>
      </c>
      <c r="F29" s="4">
        <v>1024</v>
      </c>
    </row>
    <row r="30" spans="1:6" x14ac:dyDescent="0.25">
      <c r="A30" s="4">
        <v>1024</v>
      </c>
      <c r="B30" s="4">
        <v>28</v>
      </c>
      <c r="C30" s="5">
        <v>0</v>
      </c>
      <c r="D30" s="5">
        <v>0</v>
      </c>
      <c r="E30" s="4">
        <v>18</v>
      </c>
      <c r="F30" s="4">
        <v>1024</v>
      </c>
    </row>
    <row r="31" spans="1:6" x14ac:dyDescent="0.25">
      <c r="A31" s="4">
        <v>1024</v>
      </c>
      <c r="B31" s="4">
        <v>29</v>
      </c>
      <c r="C31" s="5">
        <v>0</v>
      </c>
      <c r="D31" s="5">
        <v>0</v>
      </c>
      <c r="E31" s="4">
        <v>18</v>
      </c>
      <c r="F31" s="4">
        <v>1024</v>
      </c>
    </row>
    <row r="32" spans="1:6" x14ac:dyDescent="0.25">
      <c r="A32" s="4">
        <v>2048</v>
      </c>
      <c r="B32" s="4">
        <v>0</v>
      </c>
      <c r="C32" s="5">
        <v>0</v>
      </c>
      <c r="D32" s="5">
        <v>0</v>
      </c>
      <c r="E32" s="4">
        <v>20</v>
      </c>
      <c r="F32" s="4">
        <v>2048</v>
      </c>
    </row>
    <row r="33" spans="1:6" x14ac:dyDescent="0.25">
      <c r="A33" s="4">
        <v>2048</v>
      </c>
      <c r="B33" s="4">
        <v>1</v>
      </c>
      <c r="C33" s="5">
        <v>0</v>
      </c>
      <c r="D33" s="5">
        <v>0</v>
      </c>
      <c r="E33" s="4">
        <v>20</v>
      </c>
      <c r="F33" s="4">
        <v>2048</v>
      </c>
    </row>
    <row r="34" spans="1:6" x14ac:dyDescent="0.25">
      <c r="A34" s="4">
        <v>2048</v>
      </c>
      <c r="B34" s="4">
        <v>2</v>
      </c>
      <c r="C34" s="5">
        <v>0</v>
      </c>
      <c r="D34" s="5">
        <v>0</v>
      </c>
      <c r="E34" s="4">
        <v>20</v>
      </c>
      <c r="F34" s="4">
        <v>2048</v>
      </c>
    </row>
    <row r="35" spans="1:6" x14ac:dyDescent="0.25">
      <c r="A35" s="4">
        <v>2048</v>
      </c>
      <c r="B35" s="4">
        <v>3</v>
      </c>
      <c r="C35" s="5">
        <v>0</v>
      </c>
      <c r="D35" s="5">
        <v>0</v>
      </c>
      <c r="E35" s="4">
        <v>20</v>
      </c>
      <c r="F35" s="4">
        <v>2048</v>
      </c>
    </row>
    <row r="36" spans="1:6" x14ac:dyDescent="0.25">
      <c r="A36" s="4">
        <v>2048</v>
      </c>
      <c r="B36" s="4">
        <v>4</v>
      </c>
      <c r="C36" s="5">
        <v>0</v>
      </c>
      <c r="D36" s="5">
        <v>0</v>
      </c>
      <c r="E36" s="4">
        <v>20</v>
      </c>
      <c r="F36" s="4">
        <v>2048</v>
      </c>
    </row>
    <row r="37" spans="1:6" x14ac:dyDescent="0.25">
      <c r="A37" s="4">
        <v>2048</v>
      </c>
      <c r="B37" s="4">
        <v>5</v>
      </c>
      <c r="C37" s="5">
        <v>0</v>
      </c>
      <c r="D37" s="5">
        <v>0</v>
      </c>
      <c r="E37" s="4">
        <v>20</v>
      </c>
      <c r="F37" s="4">
        <v>2048</v>
      </c>
    </row>
    <row r="38" spans="1:6" x14ac:dyDescent="0.25">
      <c r="A38" s="4">
        <v>2048</v>
      </c>
      <c r="B38" s="4">
        <v>6</v>
      </c>
      <c r="C38" s="5">
        <v>0</v>
      </c>
      <c r="D38" s="5">
        <v>0</v>
      </c>
      <c r="E38" s="4">
        <v>20</v>
      </c>
      <c r="F38" s="4">
        <v>2048</v>
      </c>
    </row>
    <row r="39" spans="1:6" x14ac:dyDescent="0.25">
      <c r="A39" s="4">
        <v>2048</v>
      </c>
      <c r="B39" s="4">
        <v>7</v>
      </c>
      <c r="C39" s="5">
        <v>0</v>
      </c>
      <c r="D39" s="5">
        <v>0</v>
      </c>
      <c r="E39" s="4">
        <v>20</v>
      </c>
      <c r="F39" s="4">
        <v>2048</v>
      </c>
    </row>
    <row r="40" spans="1:6" x14ac:dyDescent="0.25">
      <c r="A40" s="4">
        <v>2048</v>
      </c>
      <c r="B40" s="4">
        <v>8</v>
      </c>
      <c r="C40" s="5">
        <v>0</v>
      </c>
      <c r="D40" s="5">
        <v>0</v>
      </c>
      <c r="E40" s="4">
        <v>20</v>
      </c>
      <c r="F40" s="4">
        <v>2048</v>
      </c>
    </row>
    <row r="41" spans="1:6" x14ac:dyDescent="0.25">
      <c r="A41" s="4">
        <v>2048</v>
      </c>
      <c r="B41" s="4">
        <v>9</v>
      </c>
      <c r="C41" s="5">
        <v>0</v>
      </c>
      <c r="D41" s="5">
        <v>0</v>
      </c>
      <c r="E41" s="4">
        <v>20</v>
      </c>
      <c r="F41" s="4">
        <v>2048</v>
      </c>
    </row>
    <row r="42" spans="1:6" x14ac:dyDescent="0.25">
      <c r="A42" s="4">
        <v>2048</v>
      </c>
      <c r="B42" s="4">
        <v>10</v>
      </c>
      <c r="C42" s="5">
        <v>1.5625E-2</v>
      </c>
      <c r="D42" s="5">
        <v>0</v>
      </c>
      <c r="E42" s="4">
        <v>20</v>
      </c>
      <c r="F42" s="4">
        <v>2048</v>
      </c>
    </row>
    <row r="43" spans="1:6" x14ac:dyDescent="0.25">
      <c r="A43" s="4">
        <v>2048</v>
      </c>
      <c r="B43" s="4">
        <v>11</v>
      </c>
      <c r="C43" s="5">
        <v>0</v>
      </c>
      <c r="D43" s="5">
        <v>0</v>
      </c>
      <c r="E43" s="4">
        <v>20</v>
      </c>
      <c r="F43" s="4">
        <v>2048</v>
      </c>
    </row>
    <row r="44" spans="1:6" x14ac:dyDescent="0.25">
      <c r="A44" s="4">
        <v>2048</v>
      </c>
      <c r="B44" s="4">
        <v>12</v>
      </c>
      <c r="C44" s="5">
        <v>0</v>
      </c>
      <c r="D44" s="5">
        <v>0</v>
      </c>
      <c r="E44" s="4">
        <v>20</v>
      </c>
      <c r="F44" s="4">
        <v>2048</v>
      </c>
    </row>
    <row r="45" spans="1:6" x14ac:dyDescent="0.25">
      <c r="A45" s="4">
        <v>2048</v>
      </c>
      <c r="B45" s="4">
        <v>13</v>
      </c>
      <c r="C45" s="5">
        <v>0</v>
      </c>
      <c r="D45" s="5">
        <v>0</v>
      </c>
      <c r="E45" s="4">
        <v>20</v>
      </c>
      <c r="F45" s="4">
        <v>2048</v>
      </c>
    </row>
    <row r="46" spans="1:6" x14ac:dyDescent="0.25">
      <c r="A46" s="4">
        <v>2048</v>
      </c>
      <c r="B46" s="4">
        <v>14</v>
      </c>
      <c r="C46" s="5">
        <v>0</v>
      </c>
      <c r="D46" s="5">
        <v>0</v>
      </c>
      <c r="E46" s="4">
        <v>20</v>
      </c>
      <c r="F46" s="4">
        <v>2048</v>
      </c>
    </row>
    <row r="47" spans="1:6" x14ac:dyDescent="0.25">
      <c r="A47" s="4">
        <v>2048</v>
      </c>
      <c r="B47" s="4">
        <v>15</v>
      </c>
      <c r="C47" s="5">
        <v>1.5625E-2</v>
      </c>
      <c r="D47" s="5">
        <v>0</v>
      </c>
      <c r="E47" s="4">
        <v>20</v>
      </c>
      <c r="F47" s="4">
        <v>2048</v>
      </c>
    </row>
    <row r="48" spans="1:6" x14ac:dyDescent="0.25">
      <c r="A48" s="4">
        <v>2048</v>
      </c>
      <c r="B48" s="4">
        <v>16</v>
      </c>
      <c r="C48" s="5">
        <v>0</v>
      </c>
      <c r="D48" s="5">
        <v>0</v>
      </c>
      <c r="E48" s="4">
        <v>20</v>
      </c>
      <c r="F48" s="4">
        <v>2048</v>
      </c>
    </row>
    <row r="49" spans="1:6" x14ac:dyDescent="0.25">
      <c r="A49" s="4">
        <v>2048</v>
      </c>
      <c r="B49" s="4">
        <v>17</v>
      </c>
      <c r="C49" s="5">
        <v>0</v>
      </c>
      <c r="D49" s="5">
        <v>0</v>
      </c>
      <c r="E49" s="4">
        <v>20</v>
      </c>
      <c r="F49" s="4">
        <v>2048</v>
      </c>
    </row>
    <row r="50" spans="1:6" x14ac:dyDescent="0.25">
      <c r="A50" s="4">
        <v>2048</v>
      </c>
      <c r="B50" s="4">
        <v>18</v>
      </c>
      <c r="C50" s="5">
        <v>0</v>
      </c>
      <c r="D50" s="5">
        <v>0</v>
      </c>
      <c r="E50" s="4">
        <v>20</v>
      </c>
      <c r="F50" s="4">
        <v>2048</v>
      </c>
    </row>
    <row r="51" spans="1:6" x14ac:dyDescent="0.25">
      <c r="A51" s="4">
        <v>2048</v>
      </c>
      <c r="B51" s="4">
        <v>19</v>
      </c>
      <c r="C51" s="5">
        <v>0</v>
      </c>
      <c r="D51" s="5">
        <v>0</v>
      </c>
      <c r="E51" s="4">
        <v>20</v>
      </c>
      <c r="F51" s="4">
        <v>2048</v>
      </c>
    </row>
    <row r="52" spans="1:6" x14ac:dyDescent="0.25">
      <c r="A52" s="4">
        <v>2048</v>
      </c>
      <c r="B52" s="4">
        <v>20</v>
      </c>
      <c r="C52" s="5">
        <v>1.5625E-2</v>
      </c>
      <c r="D52" s="5">
        <v>0</v>
      </c>
      <c r="E52" s="4">
        <v>20</v>
      </c>
      <c r="F52" s="4">
        <v>2048</v>
      </c>
    </row>
    <row r="53" spans="1:6" x14ac:dyDescent="0.25">
      <c r="A53" s="4">
        <v>2048</v>
      </c>
      <c r="B53" s="4">
        <v>21</v>
      </c>
      <c r="C53" s="5">
        <v>0</v>
      </c>
      <c r="D53" s="5">
        <v>0</v>
      </c>
      <c r="E53" s="4">
        <v>20</v>
      </c>
      <c r="F53" s="4">
        <v>2048</v>
      </c>
    </row>
    <row r="54" spans="1:6" x14ac:dyDescent="0.25">
      <c r="A54" s="4">
        <v>2048</v>
      </c>
      <c r="B54" s="4">
        <v>22</v>
      </c>
      <c r="C54" s="5">
        <v>0</v>
      </c>
      <c r="D54" s="5">
        <v>0</v>
      </c>
      <c r="E54" s="4">
        <v>20</v>
      </c>
      <c r="F54" s="4">
        <v>2048</v>
      </c>
    </row>
    <row r="55" spans="1:6" x14ac:dyDescent="0.25">
      <c r="A55" s="4">
        <v>2048</v>
      </c>
      <c r="B55" s="4">
        <v>23</v>
      </c>
      <c r="C55" s="5">
        <v>0</v>
      </c>
      <c r="D55" s="5">
        <v>0</v>
      </c>
      <c r="E55" s="4">
        <v>20</v>
      </c>
      <c r="F55" s="4">
        <v>2048</v>
      </c>
    </row>
    <row r="56" spans="1:6" x14ac:dyDescent="0.25">
      <c r="A56" s="4">
        <v>2048</v>
      </c>
      <c r="B56" s="4">
        <v>24</v>
      </c>
      <c r="C56" s="5">
        <v>0</v>
      </c>
      <c r="D56" s="5">
        <v>1.5625E-2</v>
      </c>
      <c r="E56" s="4">
        <v>20</v>
      </c>
      <c r="F56" s="4">
        <v>2048</v>
      </c>
    </row>
    <row r="57" spans="1:6" x14ac:dyDescent="0.25">
      <c r="A57" s="4">
        <v>2048</v>
      </c>
      <c r="B57" s="4">
        <v>25</v>
      </c>
      <c r="C57" s="5">
        <v>0</v>
      </c>
      <c r="D57" s="5">
        <v>0</v>
      </c>
      <c r="E57" s="4">
        <v>20</v>
      </c>
      <c r="F57" s="4">
        <v>2048</v>
      </c>
    </row>
    <row r="58" spans="1:6" x14ac:dyDescent="0.25">
      <c r="A58" s="4">
        <v>2048</v>
      </c>
      <c r="B58" s="4">
        <v>26</v>
      </c>
      <c r="C58" s="5">
        <v>0</v>
      </c>
      <c r="D58" s="5">
        <v>0</v>
      </c>
      <c r="E58" s="4">
        <v>20</v>
      </c>
      <c r="F58" s="4">
        <v>2048</v>
      </c>
    </row>
    <row r="59" spans="1:6" x14ac:dyDescent="0.25">
      <c r="A59" s="4">
        <v>2048</v>
      </c>
      <c r="B59" s="4">
        <v>27</v>
      </c>
      <c r="C59" s="5">
        <v>0</v>
      </c>
      <c r="D59" s="5">
        <v>0</v>
      </c>
      <c r="E59" s="4">
        <v>20</v>
      </c>
      <c r="F59" s="4">
        <v>2048</v>
      </c>
    </row>
    <row r="60" spans="1:6" x14ac:dyDescent="0.25">
      <c r="A60" s="4">
        <v>2048</v>
      </c>
      <c r="B60" s="4">
        <v>28</v>
      </c>
      <c r="C60" s="5">
        <v>0</v>
      </c>
      <c r="D60" s="5">
        <v>0</v>
      </c>
      <c r="E60" s="4">
        <v>20</v>
      </c>
      <c r="F60" s="4">
        <v>2048</v>
      </c>
    </row>
    <row r="61" spans="1:6" x14ac:dyDescent="0.25">
      <c r="A61" s="4">
        <v>2048</v>
      </c>
      <c r="B61" s="4">
        <v>29</v>
      </c>
      <c r="C61" s="5">
        <v>0</v>
      </c>
      <c r="D61" s="5">
        <v>0</v>
      </c>
      <c r="E61" s="4">
        <v>20</v>
      </c>
      <c r="F61" s="4">
        <v>2048</v>
      </c>
    </row>
    <row r="62" spans="1:6" x14ac:dyDescent="0.25">
      <c r="A62" s="4">
        <v>4096</v>
      </c>
      <c r="B62" s="4">
        <v>0</v>
      </c>
      <c r="C62" s="5">
        <v>0</v>
      </c>
      <c r="D62" s="5">
        <v>1.5625E-2</v>
      </c>
      <c r="E62" s="4">
        <v>22</v>
      </c>
      <c r="F62" s="4">
        <v>4096</v>
      </c>
    </row>
    <row r="63" spans="1:6" x14ac:dyDescent="0.25">
      <c r="A63" s="4">
        <v>4096</v>
      </c>
      <c r="B63" s="4">
        <v>1</v>
      </c>
      <c r="C63" s="5">
        <v>0</v>
      </c>
      <c r="D63" s="5">
        <v>0</v>
      </c>
      <c r="E63" s="4">
        <v>22</v>
      </c>
      <c r="F63" s="4">
        <v>4096</v>
      </c>
    </row>
    <row r="64" spans="1:6" x14ac:dyDescent="0.25">
      <c r="A64" s="4">
        <v>4096</v>
      </c>
      <c r="B64" s="4">
        <v>2</v>
      </c>
      <c r="C64" s="5">
        <v>0</v>
      </c>
      <c r="D64" s="5">
        <v>1.5625E-2</v>
      </c>
      <c r="E64" s="4">
        <v>22</v>
      </c>
      <c r="F64" s="4">
        <v>4096</v>
      </c>
    </row>
    <row r="65" spans="1:6" x14ac:dyDescent="0.25">
      <c r="A65" s="4">
        <v>4096</v>
      </c>
      <c r="B65" s="4">
        <v>3</v>
      </c>
      <c r="C65" s="5">
        <v>0</v>
      </c>
      <c r="D65" s="5">
        <v>0</v>
      </c>
      <c r="E65" s="4">
        <v>22</v>
      </c>
      <c r="F65" s="4">
        <v>4096</v>
      </c>
    </row>
    <row r="66" spans="1:6" x14ac:dyDescent="0.25">
      <c r="A66" s="4">
        <v>4096</v>
      </c>
      <c r="B66" s="4">
        <v>4</v>
      </c>
      <c r="C66" s="5">
        <v>0</v>
      </c>
      <c r="D66" s="5">
        <v>0</v>
      </c>
      <c r="E66" s="4">
        <v>22</v>
      </c>
      <c r="F66" s="4">
        <v>4096</v>
      </c>
    </row>
    <row r="67" spans="1:6" x14ac:dyDescent="0.25">
      <c r="A67" s="4">
        <v>4096</v>
      </c>
      <c r="B67" s="4">
        <v>5</v>
      </c>
      <c r="C67" s="5">
        <v>0</v>
      </c>
      <c r="D67" s="5">
        <v>0</v>
      </c>
      <c r="E67" s="4">
        <v>22</v>
      </c>
      <c r="F67" s="4">
        <v>4096</v>
      </c>
    </row>
    <row r="68" spans="1:6" x14ac:dyDescent="0.25">
      <c r="A68" s="4">
        <v>4096</v>
      </c>
      <c r="B68" s="4">
        <v>6</v>
      </c>
      <c r="C68" s="5">
        <v>0</v>
      </c>
      <c r="D68" s="5">
        <v>0</v>
      </c>
      <c r="E68" s="4">
        <v>22</v>
      </c>
      <c r="F68" s="4">
        <v>4096</v>
      </c>
    </row>
    <row r="69" spans="1:6" x14ac:dyDescent="0.25">
      <c r="A69" s="4">
        <v>4096</v>
      </c>
      <c r="B69" s="4">
        <v>7</v>
      </c>
      <c r="C69" s="5">
        <v>0</v>
      </c>
      <c r="D69" s="5">
        <v>1.5625E-2</v>
      </c>
      <c r="E69" s="4">
        <v>22</v>
      </c>
      <c r="F69" s="4">
        <v>4096</v>
      </c>
    </row>
    <row r="70" spans="1:6" x14ac:dyDescent="0.25">
      <c r="A70" s="4">
        <v>4096</v>
      </c>
      <c r="B70" s="4">
        <v>8</v>
      </c>
      <c r="C70" s="5">
        <v>0</v>
      </c>
      <c r="D70" s="5">
        <v>1.5625E-2</v>
      </c>
      <c r="E70" s="4">
        <v>22</v>
      </c>
      <c r="F70" s="4">
        <v>4096</v>
      </c>
    </row>
    <row r="71" spans="1:6" x14ac:dyDescent="0.25">
      <c r="A71" s="4">
        <v>4096</v>
      </c>
      <c r="B71" s="4">
        <v>9</v>
      </c>
      <c r="C71" s="5">
        <v>0</v>
      </c>
      <c r="D71" s="5">
        <v>0</v>
      </c>
      <c r="E71" s="4">
        <v>22</v>
      </c>
      <c r="F71" s="4">
        <v>4096</v>
      </c>
    </row>
    <row r="72" spans="1:6" x14ac:dyDescent="0.25">
      <c r="A72" s="4">
        <v>4096</v>
      </c>
      <c r="B72" s="4">
        <v>10</v>
      </c>
      <c r="C72" s="5">
        <v>0</v>
      </c>
      <c r="D72" s="5">
        <v>0</v>
      </c>
      <c r="E72" s="4">
        <v>22</v>
      </c>
      <c r="F72" s="4">
        <v>4096</v>
      </c>
    </row>
    <row r="73" spans="1:6" x14ac:dyDescent="0.25">
      <c r="A73" s="4">
        <v>4096</v>
      </c>
      <c r="B73" s="4">
        <v>11</v>
      </c>
      <c r="C73" s="5">
        <v>0</v>
      </c>
      <c r="D73" s="5">
        <v>1.5625E-2</v>
      </c>
      <c r="E73" s="4">
        <v>22</v>
      </c>
      <c r="F73" s="4">
        <v>4096</v>
      </c>
    </row>
    <row r="74" spans="1:6" x14ac:dyDescent="0.25">
      <c r="A74" s="4">
        <v>4096</v>
      </c>
      <c r="B74" s="4">
        <v>12</v>
      </c>
      <c r="C74" s="5">
        <v>0</v>
      </c>
      <c r="D74" s="5">
        <v>1.5625E-2</v>
      </c>
      <c r="E74" s="4">
        <v>22</v>
      </c>
      <c r="F74" s="4">
        <v>4096</v>
      </c>
    </row>
    <row r="75" spans="1:6" x14ac:dyDescent="0.25">
      <c r="A75" s="4">
        <v>4096</v>
      </c>
      <c r="B75" s="4">
        <v>13</v>
      </c>
      <c r="C75" s="5">
        <v>0</v>
      </c>
      <c r="D75" s="5">
        <v>0</v>
      </c>
      <c r="E75" s="4">
        <v>22</v>
      </c>
      <c r="F75" s="4">
        <v>4096</v>
      </c>
    </row>
    <row r="76" spans="1:6" x14ac:dyDescent="0.25">
      <c r="A76" s="4">
        <v>4096</v>
      </c>
      <c r="B76" s="4">
        <v>14</v>
      </c>
      <c r="C76" s="5">
        <v>0</v>
      </c>
      <c r="D76" s="5">
        <v>0</v>
      </c>
      <c r="E76" s="4">
        <v>22</v>
      </c>
      <c r="F76" s="4">
        <v>4096</v>
      </c>
    </row>
    <row r="77" spans="1:6" x14ac:dyDescent="0.25">
      <c r="A77" s="4">
        <v>4096</v>
      </c>
      <c r="B77" s="4">
        <v>15</v>
      </c>
      <c r="C77" s="5">
        <v>0</v>
      </c>
      <c r="D77" s="5">
        <v>1.5625E-2</v>
      </c>
      <c r="E77" s="4">
        <v>22</v>
      </c>
      <c r="F77" s="4">
        <v>4096</v>
      </c>
    </row>
    <row r="78" spans="1:6" x14ac:dyDescent="0.25">
      <c r="A78" s="4">
        <v>4096</v>
      </c>
      <c r="B78" s="4">
        <v>16</v>
      </c>
      <c r="C78" s="5">
        <v>0</v>
      </c>
      <c r="D78" s="5">
        <v>0</v>
      </c>
      <c r="E78" s="4">
        <v>22</v>
      </c>
      <c r="F78" s="4">
        <v>4096</v>
      </c>
    </row>
    <row r="79" spans="1:6" x14ac:dyDescent="0.25">
      <c r="A79" s="4">
        <v>4096</v>
      </c>
      <c r="B79" s="4">
        <v>17</v>
      </c>
      <c r="C79" s="5">
        <v>0</v>
      </c>
      <c r="D79" s="5">
        <v>0</v>
      </c>
      <c r="E79" s="4">
        <v>22</v>
      </c>
      <c r="F79" s="4">
        <v>4096</v>
      </c>
    </row>
    <row r="80" spans="1:6" x14ac:dyDescent="0.25">
      <c r="A80" s="4">
        <v>4096</v>
      </c>
      <c r="B80" s="4">
        <v>18</v>
      </c>
      <c r="C80" s="5">
        <v>0</v>
      </c>
      <c r="D80" s="5">
        <v>0</v>
      </c>
      <c r="E80" s="4">
        <v>22</v>
      </c>
      <c r="F80" s="4">
        <v>4096</v>
      </c>
    </row>
    <row r="81" spans="1:6" x14ac:dyDescent="0.25">
      <c r="A81" s="4">
        <v>4096</v>
      </c>
      <c r="B81" s="4">
        <v>19</v>
      </c>
      <c r="C81" s="5">
        <v>0</v>
      </c>
      <c r="D81" s="5">
        <v>0</v>
      </c>
      <c r="E81" s="4">
        <v>22</v>
      </c>
      <c r="F81" s="4">
        <v>4096</v>
      </c>
    </row>
    <row r="82" spans="1:6" x14ac:dyDescent="0.25">
      <c r="A82" s="4">
        <v>4096</v>
      </c>
      <c r="B82" s="4">
        <v>20</v>
      </c>
      <c r="C82" s="5">
        <v>0</v>
      </c>
      <c r="D82" s="5">
        <v>0</v>
      </c>
      <c r="E82" s="4">
        <v>22</v>
      </c>
      <c r="F82" s="4">
        <v>4096</v>
      </c>
    </row>
    <row r="83" spans="1:6" x14ac:dyDescent="0.25">
      <c r="A83" s="4">
        <v>4096</v>
      </c>
      <c r="B83" s="4">
        <v>21</v>
      </c>
      <c r="C83" s="5">
        <v>0</v>
      </c>
      <c r="D83" s="5">
        <v>1.5625E-2</v>
      </c>
      <c r="E83" s="4">
        <v>22</v>
      </c>
      <c r="F83" s="4">
        <v>4096</v>
      </c>
    </row>
    <row r="84" spans="1:6" x14ac:dyDescent="0.25">
      <c r="A84" s="4">
        <v>4096</v>
      </c>
      <c r="B84" s="4">
        <v>22</v>
      </c>
      <c r="C84" s="5">
        <v>0</v>
      </c>
      <c r="D84" s="5">
        <v>0</v>
      </c>
      <c r="E84" s="4">
        <v>22</v>
      </c>
      <c r="F84" s="4">
        <v>4096</v>
      </c>
    </row>
    <row r="85" spans="1:6" x14ac:dyDescent="0.25">
      <c r="A85" s="4">
        <v>4096</v>
      </c>
      <c r="B85" s="4">
        <v>23</v>
      </c>
      <c r="C85" s="5">
        <v>0</v>
      </c>
      <c r="D85" s="5">
        <v>0</v>
      </c>
      <c r="E85" s="4">
        <v>22</v>
      </c>
      <c r="F85" s="4">
        <v>4096</v>
      </c>
    </row>
    <row r="86" spans="1:6" x14ac:dyDescent="0.25">
      <c r="A86" s="4">
        <v>4096</v>
      </c>
      <c r="B86" s="4">
        <v>24</v>
      </c>
      <c r="C86" s="5">
        <v>0</v>
      </c>
      <c r="D86" s="5">
        <v>0</v>
      </c>
      <c r="E86" s="4">
        <v>22</v>
      </c>
      <c r="F86" s="4">
        <v>4096</v>
      </c>
    </row>
    <row r="87" spans="1:6" x14ac:dyDescent="0.25">
      <c r="A87" s="4">
        <v>4096</v>
      </c>
      <c r="B87" s="4">
        <v>25</v>
      </c>
      <c r="C87" s="5">
        <v>0</v>
      </c>
      <c r="D87" s="5">
        <v>0</v>
      </c>
      <c r="E87" s="4">
        <v>22</v>
      </c>
      <c r="F87" s="4">
        <v>4096</v>
      </c>
    </row>
    <row r="88" spans="1:6" x14ac:dyDescent="0.25">
      <c r="A88" s="4">
        <v>4096</v>
      </c>
      <c r="B88" s="4">
        <v>26</v>
      </c>
      <c r="C88" s="5">
        <v>0</v>
      </c>
      <c r="D88" s="5">
        <v>0</v>
      </c>
      <c r="E88" s="4">
        <v>22</v>
      </c>
      <c r="F88" s="4">
        <v>4096</v>
      </c>
    </row>
    <row r="89" spans="1:6" x14ac:dyDescent="0.25">
      <c r="A89" s="4">
        <v>4096</v>
      </c>
      <c r="B89" s="4">
        <v>27</v>
      </c>
      <c r="C89" s="5">
        <v>0</v>
      </c>
      <c r="D89" s="5">
        <v>0</v>
      </c>
      <c r="E89" s="4">
        <v>22</v>
      </c>
      <c r="F89" s="4">
        <v>4096</v>
      </c>
    </row>
    <row r="90" spans="1:6" x14ac:dyDescent="0.25">
      <c r="A90" s="4">
        <v>4096</v>
      </c>
      <c r="B90" s="4">
        <v>28</v>
      </c>
      <c r="C90" s="5">
        <v>0</v>
      </c>
      <c r="D90" s="5">
        <v>0</v>
      </c>
      <c r="E90" s="4">
        <v>22</v>
      </c>
      <c r="F90" s="4">
        <v>4096</v>
      </c>
    </row>
    <row r="91" spans="1:6" x14ac:dyDescent="0.25">
      <c r="A91" s="4">
        <v>4096</v>
      </c>
      <c r="B91" s="4">
        <v>29</v>
      </c>
      <c r="C91" s="5">
        <v>0</v>
      </c>
      <c r="D91" s="5">
        <v>0</v>
      </c>
      <c r="E91" s="4">
        <v>22</v>
      </c>
      <c r="F91" s="4">
        <v>4096</v>
      </c>
    </row>
    <row r="92" spans="1:6" x14ac:dyDescent="0.25">
      <c r="A92" s="4">
        <v>8192</v>
      </c>
      <c r="B92" s="4">
        <v>0</v>
      </c>
      <c r="C92" s="5">
        <v>0</v>
      </c>
      <c r="D92" s="5">
        <v>0</v>
      </c>
      <c r="E92" s="4">
        <v>24</v>
      </c>
      <c r="F92" s="4">
        <v>8192</v>
      </c>
    </row>
    <row r="93" spans="1:6" x14ac:dyDescent="0.25">
      <c r="A93" s="4">
        <v>8192</v>
      </c>
      <c r="B93" s="4">
        <v>1</v>
      </c>
      <c r="C93" s="5">
        <v>0</v>
      </c>
      <c r="D93" s="5">
        <v>1.5625E-2</v>
      </c>
      <c r="E93" s="4">
        <v>24</v>
      </c>
      <c r="F93" s="4">
        <v>8192</v>
      </c>
    </row>
    <row r="94" spans="1:6" x14ac:dyDescent="0.25">
      <c r="A94" s="4">
        <v>8192</v>
      </c>
      <c r="B94" s="4">
        <v>2</v>
      </c>
      <c r="C94" s="5">
        <v>0</v>
      </c>
      <c r="D94" s="5">
        <v>0</v>
      </c>
      <c r="E94" s="4">
        <v>24</v>
      </c>
      <c r="F94" s="4">
        <v>8192</v>
      </c>
    </row>
    <row r="95" spans="1:6" x14ac:dyDescent="0.25">
      <c r="A95" s="4">
        <v>8192</v>
      </c>
      <c r="B95" s="4">
        <v>3</v>
      </c>
      <c r="C95" s="5">
        <v>0</v>
      </c>
      <c r="D95" s="5">
        <v>0</v>
      </c>
      <c r="E95" s="4">
        <v>24</v>
      </c>
      <c r="F95" s="4">
        <v>8192</v>
      </c>
    </row>
    <row r="96" spans="1:6" x14ac:dyDescent="0.25">
      <c r="A96" s="4">
        <v>8192</v>
      </c>
      <c r="B96" s="4">
        <v>4</v>
      </c>
      <c r="C96" s="5">
        <v>1.5625E-2</v>
      </c>
      <c r="D96" s="5">
        <v>0</v>
      </c>
      <c r="E96" s="4">
        <v>24</v>
      </c>
      <c r="F96" s="4">
        <v>8192</v>
      </c>
    </row>
    <row r="97" spans="1:6" x14ac:dyDescent="0.25">
      <c r="A97" s="4">
        <v>8192</v>
      </c>
      <c r="B97" s="4">
        <v>5</v>
      </c>
      <c r="C97" s="5">
        <v>0</v>
      </c>
      <c r="D97" s="5">
        <v>0</v>
      </c>
      <c r="E97" s="4">
        <v>24</v>
      </c>
      <c r="F97" s="4">
        <v>8192</v>
      </c>
    </row>
    <row r="98" spans="1:6" x14ac:dyDescent="0.25">
      <c r="A98" s="4">
        <v>8192</v>
      </c>
      <c r="B98" s="4">
        <v>6</v>
      </c>
      <c r="C98" s="5">
        <v>0</v>
      </c>
      <c r="D98" s="5">
        <v>0</v>
      </c>
      <c r="E98" s="4">
        <v>24</v>
      </c>
      <c r="F98" s="4">
        <v>8192</v>
      </c>
    </row>
    <row r="99" spans="1:6" x14ac:dyDescent="0.25">
      <c r="A99" s="4">
        <v>8192</v>
      </c>
      <c r="B99" s="4">
        <v>7</v>
      </c>
      <c r="C99" s="5">
        <v>0</v>
      </c>
      <c r="D99" s="5">
        <v>1.5625E-2</v>
      </c>
      <c r="E99" s="4">
        <v>24</v>
      </c>
      <c r="F99" s="4">
        <v>8192</v>
      </c>
    </row>
    <row r="100" spans="1:6" x14ac:dyDescent="0.25">
      <c r="A100" s="4">
        <v>8192</v>
      </c>
      <c r="B100" s="4">
        <v>8</v>
      </c>
      <c r="C100" s="5">
        <v>0</v>
      </c>
      <c r="D100" s="5">
        <v>0</v>
      </c>
      <c r="E100" s="4">
        <v>24</v>
      </c>
      <c r="F100" s="4">
        <v>8192</v>
      </c>
    </row>
    <row r="101" spans="1:6" x14ac:dyDescent="0.25">
      <c r="A101" s="4">
        <v>8192</v>
      </c>
      <c r="B101" s="4">
        <v>9</v>
      </c>
      <c r="C101" s="5">
        <v>1.5625E-2</v>
      </c>
      <c r="D101" s="5">
        <v>0</v>
      </c>
      <c r="E101" s="4">
        <v>24</v>
      </c>
      <c r="F101" s="4">
        <v>8192</v>
      </c>
    </row>
    <row r="102" spans="1:6" x14ac:dyDescent="0.25">
      <c r="A102" s="4">
        <v>8192</v>
      </c>
      <c r="B102" s="4">
        <v>10</v>
      </c>
      <c r="C102" s="5">
        <v>0</v>
      </c>
      <c r="D102" s="5">
        <v>0</v>
      </c>
      <c r="E102" s="4">
        <v>24</v>
      </c>
      <c r="F102" s="4">
        <v>8192</v>
      </c>
    </row>
    <row r="103" spans="1:6" x14ac:dyDescent="0.25">
      <c r="A103" s="4">
        <v>8192</v>
      </c>
      <c r="B103" s="4">
        <v>11</v>
      </c>
      <c r="C103" s="5">
        <v>0</v>
      </c>
      <c r="D103" s="5">
        <v>0</v>
      </c>
      <c r="E103" s="4">
        <v>24</v>
      </c>
      <c r="F103" s="4">
        <v>8192</v>
      </c>
    </row>
    <row r="104" spans="1:6" x14ac:dyDescent="0.25">
      <c r="A104" s="4">
        <v>8192</v>
      </c>
      <c r="B104" s="4">
        <v>12</v>
      </c>
      <c r="C104" s="5">
        <v>1.5625E-2</v>
      </c>
      <c r="D104" s="5">
        <v>0</v>
      </c>
      <c r="E104" s="4">
        <v>24</v>
      </c>
      <c r="F104" s="4">
        <v>8192</v>
      </c>
    </row>
    <row r="105" spans="1:6" x14ac:dyDescent="0.25">
      <c r="A105" s="4">
        <v>8192</v>
      </c>
      <c r="B105" s="4">
        <v>13</v>
      </c>
      <c r="C105" s="5">
        <v>0</v>
      </c>
      <c r="D105" s="5">
        <v>0</v>
      </c>
      <c r="E105" s="4">
        <v>24</v>
      </c>
      <c r="F105" s="4">
        <v>8192</v>
      </c>
    </row>
    <row r="106" spans="1:6" x14ac:dyDescent="0.25">
      <c r="A106" s="4">
        <v>8192</v>
      </c>
      <c r="B106" s="4">
        <v>14</v>
      </c>
      <c r="C106" s="5">
        <v>0</v>
      </c>
      <c r="D106" s="5">
        <v>0</v>
      </c>
      <c r="E106" s="4">
        <v>24</v>
      </c>
      <c r="F106" s="4">
        <v>8192</v>
      </c>
    </row>
    <row r="107" spans="1:6" x14ac:dyDescent="0.25">
      <c r="A107" s="4">
        <v>8192</v>
      </c>
      <c r="B107" s="4">
        <v>15</v>
      </c>
      <c r="C107" s="5">
        <v>0</v>
      </c>
      <c r="D107" s="5">
        <v>0</v>
      </c>
      <c r="E107" s="4">
        <v>24</v>
      </c>
      <c r="F107" s="4">
        <v>8192</v>
      </c>
    </row>
    <row r="108" spans="1:6" x14ac:dyDescent="0.25">
      <c r="A108" s="4">
        <v>8192</v>
      </c>
      <c r="B108" s="4">
        <v>16</v>
      </c>
      <c r="C108" s="5">
        <v>0</v>
      </c>
      <c r="D108" s="5">
        <v>0</v>
      </c>
      <c r="E108" s="4">
        <v>24</v>
      </c>
      <c r="F108" s="4">
        <v>8192</v>
      </c>
    </row>
    <row r="109" spans="1:6" x14ac:dyDescent="0.25">
      <c r="A109" s="4">
        <v>8192</v>
      </c>
      <c r="B109" s="4">
        <v>17</v>
      </c>
      <c r="C109" s="5">
        <v>0</v>
      </c>
      <c r="D109" s="5">
        <v>0</v>
      </c>
      <c r="E109" s="4">
        <v>24</v>
      </c>
      <c r="F109" s="4">
        <v>8192</v>
      </c>
    </row>
    <row r="110" spans="1:6" x14ac:dyDescent="0.25">
      <c r="A110" s="4">
        <v>8192</v>
      </c>
      <c r="B110" s="4">
        <v>18</v>
      </c>
      <c r="C110" s="5">
        <v>0</v>
      </c>
      <c r="D110" s="5">
        <v>0</v>
      </c>
      <c r="E110" s="4">
        <v>24</v>
      </c>
      <c r="F110" s="4">
        <v>8192</v>
      </c>
    </row>
    <row r="111" spans="1:6" x14ac:dyDescent="0.25">
      <c r="A111" s="4">
        <v>8192</v>
      </c>
      <c r="B111" s="4">
        <v>19</v>
      </c>
      <c r="C111" s="5">
        <v>0</v>
      </c>
      <c r="D111" s="5">
        <v>0</v>
      </c>
      <c r="E111" s="4">
        <v>24</v>
      </c>
      <c r="F111" s="4">
        <v>8192</v>
      </c>
    </row>
    <row r="112" spans="1:6" x14ac:dyDescent="0.25">
      <c r="A112" s="4">
        <v>8192</v>
      </c>
      <c r="B112" s="4">
        <v>20</v>
      </c>
      <c r="C112" s="5">
        <v>1.5625E-2</v>
      </c>
      <c r="D112" s="5">
        <v>0</v>
      </c>
      <c r="E112" s="4">
        <v>24</v>
      </c>
      <c r="F112" s="4">
        <v>8192</v>
      </c>
    </row>
    <row r="113" spans="1:6" x14ac:dyDescent="0.25">
      <c r="A113" s="4">
        <v>8192</v>
      </c>
      <c r="B113" s="4">
        <v>21</v>
      </c>
      <c r="C113" s="5">
        <v>0</v>
      </c>
      <c r="D113" s="5">
        <v>0</v>
      </c>
      <c r="E113" s="4">
        <v>24</v>
      </c>
      <c r="F113" s="4">
        <v>8192</v>
      </c>
    </row>
    <row r="114" spans="1:6" x14ac:dyDescent="0.25">
      <c r="A114" s="4">
        <v>8192</v>
      </c>
      <c r="B114" s="4">
        <v>22</v>
      </c>
      <c r="C114" s="5">
        <v>0</v>
      </c>
      <c r="D114" s="5">
        <v>0</v>
      </c>
      <c r="E114" s="4">
        <v>24</v>
      </c>
      <c r="F114" s="4">
        <v>8192</v>
      </c>
    </row>
    <row r="115" spans="1:6" x14ac:dyDescent="0.25">
      <c r="A115" s="4">
        <v>8192</v>
      </c>
      <c r="B115" s="4">
        <v>23</v>
      </c>
      <c r="C115" s="5">
        <v>0</v>
      </c>
      <c r="D115" s="5">
        <v>0</v>
      </c>
      <c r="E115" s="4">
        <v>24</v>
      </c>
      <c r="F115" s="4">
        <v>8192</v>
      </c>
    </row>
    <row r="116" spans="1:6" x14ac:dyDescent="0.25">
      <c r="A116" s="4">
        <v>8192</v>
      </c>
      <c r="B116" s="4">
        <v>24</v>
      </c>
      <c r="C116" s="5">
        <v>0</v>
      </c>
      <c r="D116" s="5">
        <v>0</v>
      </c>
      <c r="E116" s="4">
        <v>24</v>
      </c>
      <c r="F116" s="4">
        <v>8192</v>
      </c>
    </row>
    <row r="117" spans="1:6" x14ac:dyDescent="0.25">
      <c r="A117" s="4">
        <v>8192</v>
      </c>
      <c r="B117" s="4">
        <v>25</v>
      </c>
      <c r="C117" s="5">
        <v>0</v>
      </c>
      <c r="D117" s="5">
        <v>0</v>
      </c>
      <c r="E117" s="4">
        <v>24</v>
      </c>
      <c r="F117" s="4">
        <v>8192</v>
      </c>
    </row>
    <row r="118" spans="1:6" x14ac:dyDescent="0.25">
      <c r="A118" s="4">
        <v>8192</v>
      </c>
      <c r="B118" s="4">
        <v>26</v>
      </c>
      <c r="C118" s="5">
        <v>0</v>
      </c>
      <c r="D118" s="5">
        <v>0</v>
      </c>
      <c r="E118" s="4">
        <v>24</v>
      </c>
      <c r="F118" s="4">
        <v>8192</v>
      </c>
    </row>
    <row r="119" spans="1:6" x14ac:dyDescent="0.25">
      <c r="A119" s="4">
        <v>8192</v>
      </c>
      <c r="B119" s="4">
        <v>27</v>
      </c>
      <c r="C119" s="5">
        <v>0</v>
      </c>
      <c r="D119" s="5">
        <v>0</v>
      </c>
      <c r="E119" s="4">
        <v>24</v>
      </c>
      <c r="F119" s="4">
        <v>8192</v>
      </c>
    </row>
    <row r="120" spans="1:6" x14ac:dyDescent="0.25">
      <c r="A120" s="4">
        <v>8192</v>
      </c>
      <c r="B120" s="4">
        <v>28</v>
      </c>
      <c r="C120" s="5">
        <v>0</v>
      </c>
      <c r="D120" s="5">
        <v>0</v>
      </c>
      <c r="E120" s="4">
        <v>24</v>
      </c>
      <c r="F120" s="4">
        <v>8192</v>
      </c>
    </row>
    <row r="121" spans="1:6" x14ac:dyDescent="0.25">
      <c r="A121" s="4">
        <v>8192</v>
      </c>
      <c r="B121" s="4">
        <v>29</v>
      </c>
      <c r="C121" s="5">
        <v>0</v>
      </c>
      <c r="D121" s="5">
        <v>0</v>
      </c>
      <c r="E121" s="4">
        <v>24</v>
      </c>
      <c r="F121" s="4">
        <v>8192</v>
      </c>
    </row>
    <row r="122" spans="1:6" x14ac:dyDescent="0.25">
      <c r="A122" s="4">
        <v>16384</v>
      </c>
      <c r="B122" s="4">
        <v>0</v>
      </c>
      <c r="C122" s="5">
        <v>0</v>
      </c>
      <c r="D122" s="5">
        <v>0</v>
      </c>
      <c r="E122" s="4">
        <v>26</v>
      </c>
      <c r="F122" s="4">
        <v>16384</v>
      </c>
    </row>
    <row r="123" spans="1:6" x14ac:dyDescent="0.25">
      <c r="A123" s="4">
        <v>16384</v>
      </c>
      <c r="B123" s="4">
        <v>1</v>
      </c>
      <c r="C123" s="5">
        <v>0</v>
      </c>
      <c r="D123" s="5">
        <v>0</v>
      </c>
      <c r="E123" s="4">
        <v>26</v>
      </c>
      <c r="F123" s="4">
        <v>16384</v>
      </c>
    </row>
    <row r="124" spans="1:6" x14ac:dyDescent="0.25">
      <c r="A124" s="4">
        <v>16384</v>
      </c>
      <c r="B124" s="4">
        <v>2</v>
      </c>
      <c r="C124" s="5">
        <v>1.5625E-2</v>
      </c>
      <c r="D124" s="5">
        <v>0</v>
      </c>
      <c r="E124" s="4">
        <v>26</v>
      </c>
      <c r="F124" s="4">
        <v>16384</v>
      </c>
    </row>
    <row r="125" spans="1:6" x14ac:dyDescent="0.25">
      <c r="A125" s="4">
        <v>16384</v>
      </c>
      <c r="B125" s="4">
        <v>3</v>
      </c>
      <c r="C125" s="5">
        <v>0</v>
      </c>
      <c r="D125" s="5">
        <v>0</v>
      </c>
      <c r="E125" s="4">
        <v>26</v>
      </c>
      <c r="F125" s="4">
        <v>16384</v>
      </c>
    </row>
    <row r="126" spans="1:6" x14ac:dyDescent="0.25">
      <c r="A126" s="4">
        <v>16384</v>
      </c>
      <c r="B126" s="4">
        <v>4</v>
      </c>
      <c r="C126" s="5">
        <v>1.5625E-2</v>
      </c>
      <c r="D126" s="5">
        <v>0</v>
      </c>
      <c r="E126" s="4">
        <v>26</v>
      </c>
      <c r="F126" s="4">
        <v>16384</v>
      </c>
    </row>
    <row r="127" spans="1:6" x14ac:dyDescent="0.25">
      <c r="A127" s="4">
        <v>16384</v>
      </c>
      <c r="B127" s="4">
        <v>5</v>
      </c>
      <c r="C127" s="5">
        <v>0</v>
      </c>
      <c r="D127" s="5">
        <v>0</v>
      </c>
      <c r="E127" s="4">
        <v>26</v>
      </c>
      <c r="F127" s="4">
        <v>16384</v>
      </c>
    </row>
    <row r="128" spans="1:6" x14ac:dyDescent="0.25">
      <c r="A128" s="4">
        <v>16384</v>
      </c>
      <c r="B128" s="4">
        <v>6</v>
      </c>
      <c r="C128" s="5">
        <v>0</v>
      </c>
      <c r="D128" s="5">
        <v>1.5625E-2</v>
      </c>
      <c r="E128" s="4">
        <v>26</v>
      </c>
      <c r="F128" s="4">
        <v>16384</v>
      </c>
    </row>
    <row r="129" spans="1:6" x14ac:dyDescent="0.25">
      <c r="A129" s="4">
        <v>16384</v>
      </c>
      <c r="B129" s="4">
        <v>7</v>
      </c>
      <c r="C129" s="5">
        <v>0</v>
      </c>
      <c r="D129" s="5">
        <v>0</v>
      </c>
      <c r="E129" s="4">
        <v>26</v>
      </c>
      <c r="F129" s="4">
        <v>16384</v>
      </c>
    </row>
    <row r="130" spans="1:6" x14ac:dyDescent="0.25">
      <c r="A130" s="4">
        <v>16384</v>
      </c>
      <c r="B130" s="4">
        <v>8</v>
      </c>
      <c r="C130" s="5">
        <v>0</v>
      </c>
      <c r="D130" s="5">
        <v>0</v>
      </c>
      <c r="E130" s="4">
        <v>26</v>
      </c>
      <c r="F130" s="4">
        <v>16384</v>
      </c>
    </row>
    <row r="131" spans="1:6" x14ac:dyDescent="0.25">
      <c r="A131" s="4">
        <v>16384</v>
      </c>
      <c r="B131" s="4">
        <v>9</v>
      </c>
      <c r="C131" s="5">
        <v>0</v>
      </c>
      <c r="D131" s="5">
        <v>1.5625E-2</v>
      </c>
      <c r="E131" s="4">
        <v>26</v>
      </c>
      <c r="F131" s="4">
        <v>16384</v>
      </c>
    </row>
    <row r="132" spans="1:6" x14ac:dyDescent="0.25">
      <c r="A132" s="4">
        <v>16384</v>
      </c>
      <c r="B132" s="4">
        <v>10</v>
      </c>
      <c r="C132" s="5">
        <v>0</v>
      </c>
      <c r="D132" s="5">
        <v>0</v>
      </c>
      <c r="E132" s="4">
        <v>26</v>
      </c>
      <c r="F132" s="4">
        <v>16384</v>
      </c>
    </row>
    <row r="133" spans="1:6" x14ac:dyDescent="0.25">
      <c r="A133" s="4">
        <v>16384</v>
      </c>
      <c r="B133" s="4">
        <v>11</v>
      </c>
      <c r="C133" s="5">
        <v>1.5625E-2</v>
      </c>
      <c r="D133" s="5">
        <v>0</v>
      </c>
      <c r="E133" s="4">
        <v>26</v>
      </c>
      <c r="F133" s="4">
        <v>16384</v>
      </c>
    </row>
    <row r="134" spans="1:6" x14ac:dyDescent="0.25">
      <c r="A134" s="4">
        <v>16384</v>
      </c>
      <c r="B134" s="4">
        <v>12</v>
      </c>
      <c r="C134" s="5">
        <v>0</v>
      </c>
      <c r="D134" s="5">
        <v>0</v>
      </c>
      <c r="E134" s="4">
        <v>26</v>
      </c>
      <c r="F134" s="4">
        <v>16384</v>
      </c>
    </row>
    <row r="135" spans="1:6" x14ac:dyDescent="0.25">
      <c r="A135" s="4">
        <v>16384</v>
      </c>
      <c r="B135" s="4">
        <v>13</v>
      </c>
      <c r="C135" s="5">
        <v>0</v>
      </c>
      <c r="D135" s="5">
        <v>0</v>
      </c>
      <c r="E135" s="4">
        <v>26</v>
      </c>
      <c r="F135" s="4">
        <v>16384</v>
      </c>
    </row>
    <row r="136" spans="1:6" x14ac:dyDescent="0.25">
      <c r="A136" s="4">
        <v>16384</v>
      </c>
      <c r="B136" s="4">
        <v>14</v>
      </c>
      <c r="C136" s="5">
        <v>0</v>
      </c>
      <c r="D136" s="5">
        <v>1.5625E-2</v>
      </c>
      <c r="E136" s="4">
        <v>26</v>
      </c>
      <c r="F136" s="4">
        <v>16384</v>
      </c>
    </row>
    <row r="137" spans="1:6" x14ac:dyDescent="0.25">
      <c r="A137" s="4">
        <v>16384</v>
      </c>
      <c r="B137" s="4">
        <v>15</v>
      </c>
      <c r="C137" s="5">
        <v>0</v>
      </c>
      <c r="D137" s="5">
        <v>0</v>
      </c>
      <c r="E137" s="4">
        <v>26</v>
      </c>
      <c r="F137" s="4">
        <v>16384</v>
      </c>
    </row>
    <row r="138" spans="1:6" x14ac:dyDescent="0.25">
      <c r="A138" s="4">
        <v>16384</v>
      </c>
      <c r="B138" s="4">
        <v>16</v>
      </c>
      <c r="C138" s="5">
        <v>0</v>
      </c>
      <c r="D138" s="5">
        <v>0</v>
      </c>
      <c r="E138" s="4">
        <v>26</v>
      </c>
      <c r="F138" s="4">
        <v>16384</v>
      </c>
    </row>
    <row r="139" spans="1:6" x14ac:dyDescent="0.25">
      <c r="A139" s="4">
        <v>16384</v>
      </c>
      <c r="B139" s="4">
        <v>17</v>
      </c>
      <c r="C139" s="5">
        <v>0</v>
      </c>
      <c r="D139" s="5">
        <v>1.5625E-2</v>
      </c>
      <c r="E139" s="4">
        <v>26</v>
      </c>
      <c r="F139" s="4">
        <v>16384</v>
      </c>
    </row>
    <row r="140" spans="1:6" x14ac:dyDescent="0.25">
      <c r="A140" s="4">
        <v>16384</v>
      </c>
      <c r="B140" s="4">
        <v>18</v>
      </c>
      <c r="C140" s="5">
        <v>0</v>
      </c>
      <c r="D140" s="5">
        <v>0</v>
      </c>
      <c r="E140" s="4">
        <v>26</v>
      </c>
      <c r="F140" s="4">
        <v>16384</v>
      </c>
    </row>
    <row r="141" spans="1:6" x14ac:dyDescent="0.25">
      <c r="A141" s="4">
        <v>16384</v>
      </c>
      <c r="B141" s="4">
        <v>19</v>
      </c>
      <c r="C141" s="5">
        <v>0</v>
      </c>
      <c r="D141" s="5">
        <v>1.5625E-2</v>
      </c>
      <c r="E141" s="4">
        <v>26</v>
      </c>
      <c r="F141" s="4">
        <v>16384</v>
      </c>
    </row>
    <row r="142" spans="1:6" x14ac:dyDescent="0.25">
      <c r="A142" s="4">
        <v>16384</v>
      </c>
      <c r="B142" s="4">
        <v>20</v>
      </c>
      <c r="C142" s="5">
        <v>0</v>
      </c>
      <c r="D142" s="5">
        <v>0</v>
      </c>
      <c r="E142" s="4">
        <v>26</v>
      </c>
      <c r="F142" s="4">
        <v>16384</v>
      </c>
    </row>
    <row r="143" spans="1:6" x14ac:dyDescent="0.25">
      <c r="A143" s="4">
        <v>16384</v>
      </c>
      <c r="B143" s="4">
        <v>21</v>
      </c>
      <c r="C143" s="5">
        <v>1.5625E-2</v>
      </c>
      <c r="D143" s="5">
        <v>0</v>
      </c>
      <c r="E143" s="4">
        <v>26</v>
      </c>
      <c r="F143" s="4">
        <v>16384</v>
      </c>
    </row>
    <row r="144" spans="1:6" x14ac:dyDescent="0.25">
      <c r="A144" s="4">
        <v>16384</v>
      </c>
      <c r="B144" s="4">
        <v>22</v>
      </c>
      <c r="C144" s="5">
        <v>0</v>
      </c>
      <c r="D144" s="5">
        <v>0</v>
      </c>
      <c r="E144" s="4">
        <v>26</v>
      </c>
      <c r="F144" s="4">
        <v>16384</v>
      </c>
    </row>
    <row r="145" spans="1:6" x14ac:dyDescent="0.25">
      <c r="A145" s="4">
        <v>16384</v>
      </c>
      <c r="B145" s="4">
        <v>23</v>
      </c>
      <c r="C145" s="5">
        <v>0</v>
      </c>
      <c r="D145" s="5">
        <v>0</v>
      </c>
      <c r="E145" s="4">
        <v>26</v>
      </c>
      <c r="F145" s="4">
        <v>16384</v>
      </c>
    </row>
    <row r="146" spans="1:6" x14ac:dyDescent="0.25">
      <c r="A146" s="4">
        <v>16384</v>
      </c>
      <c r="B146" s="4">
        <v>24</v>
      </c>
      <c r="C146" s="5">
        <v>0</v>
      </c>
      <c r="D146" s="5">
        <v>1.5625E-2</v>
      </c>
      <c r="E146" s="4">
        <v>26</v>
      </c>
      <c r="F146" s="4">
        <v>16384</v>
      </c>
    </row>
    <row r="147" spans="1:6" x14ac:dyDescent="0.25">
      <c r="A147" s="4">
        <v>16384</v>
      </c>
      <c r="B147" s="4">
        <v>25</v>
      </c>
      <c r="C147" s="5">
        <v>0</v>
      </c>
      <c r="D147" s="5">
        <v>0</v>
      </c>
      <c r="E147" s="4">
        <v>26</v>
      </c>
      <c r="F147" s="4">
        <v>16384</v>
      </c>
    </row>
    <row r="148" spans="1:6" x14ac:dyDescent="0.25">
      <c r="A148" s="4">
        <v>16384</v>
      </c>
      <c r="B148" s="4">
        <v>26</v>
      </c>
      <c r="C148" s="5">
        <v>0</v>
      </c>
      <c r="D148" s="5">
        <v>0</v>
      </c>
      <c r="E148" s="4">
        <v>26</v>
      </c>
      <c r="F148" s="4">
        <v>16384</v>
      </c>
    </row>
    <row r="149" spans="1:6" x14ac:dyDescent="0.25">
      <c r="A149" s="4">
        <v>16384</v>
      </c>
      <c r="B149" s="4">
        <v>27</v>
      </c>
      <c r="C149" s="5">
        <v>0</v>
      </c>
      <c r="D149" s="5">
        <v>1.5625E-2</v>
      </c>
      <c r="E149" s="4">
        <v>26</v>
      </c>
      <c r="F149" s="4">
        <v>16384</v>
      </c>
    </row>
    <row r="150" spans="1:6" x14ac:dyDescent="0.25">
      <c r="A150" s="4">
        <v>16384</v>
      </c>
      <c r="B150" s="4">
        <v>28</v>
      </c>
      <c r="C150" s="5">
        <v>0</v>
      </c>
      <c r="D150" s="5">
        <v>0</v>
      </c>
      <c r="E150" s="4">
        <v>26</v>
      </c>
      <c r="F150" s="4">
        <v>16384</v>
      </c>
    </row>
    <row r="151" spans="1:6" x14ac:dyDescent="0.25">
      <c r="A151" s="4">
        <v>16384</v>
      </c>
      <c r="B151" s="4">
        <v>29</v>
      </c>
      <c r="C151" s="5">
        <v>0</v>
      </c>
      <c r="D151" s="5">
        <v>0</v>
      </c>
      <c r="E151" s="4">
        <v>26</v>
      </c>
      <c r="F151" s="4">
        <v>16384</v>
      </c>
    </row>
    <row r="152" spans="1:6" x14ac:dyDescent="0.25">
      <c r="A152" s="4">
        <v>32768</v>
      </c>
      <c r="B152" s="4">
        <v>0</v>
      </c>
      <c r="C152" s="5">
        <v>0</v>
      </c>
      <c r="D152" s="5">
        <v>1.5625E-2</v>
      </c>
      <c r="E152" s="4">
        <v>28</v>
      </c>
      <c r="F152" s="4">
        <v>32768</v>
      </c>
    </row>
    <row r="153" spans="1:6" x14ac:dyDescent="0.25">
      <c r="A153" s="4">
        <v>32768</v>
      </c>
      <c r="B153" s="4">
        <v>1</v>
      </c>
      <c r="C153" s="5">
        <v>0</v>
      </c>
      <c r="D153" s="5">
        <v>0</v>
      </c>
      <c r="E153" s="4">
        <v>28</v>
      </c>
      <c r="F153" s="4">
        <v>32768</v>
      </c>
    </row>
    <row r="154" spans="1:6" x14ac:dyDescent="0.25">
      <c r="A154" s="4">
        <v>32768</v>
      </c>
      <c r="B154" s="4">
        <v>2</v>
      </c>
      <c r="C154" s="5">
        <v>1.5625E-2</v>
      </c>
      <c r="D154" s="5">
        <v>0</v>
      </c>
      <c r="E154" s="4">
        <v>28</v>
      </c>
      <c r="F154" s="4">
        <v>32768</v>
      </c>
    </row>
    <row r="155" spans="1:6" x14ac:dyDescent="0.25">
      <c r="A155" s="4">
        <v>32768</v>
      </c>
      <c r="B155" s="4">
        <v>3</v>
      </c>
      <c r="C155" s="5">
        <v>0</v>
      </c>
      <c r="D155" s="5">
        <v>0</v>
      </c>
      <c r="E155" s="4">
        <v>28</v>
      </c>
      <c r="F155" s="4">
        <v>32768</v>
      </c>
    </row>
    <row r="156" spans="1:6" x14ac:dyDescent="0.25">
      <c r="A156" s="4">
        <v>32768</v>
      </c>
      <c r="B156" s="4">
        <v>4</v>
      </c>
      <c r="C156" s="5">
        <v>1.5625E-2</v>
      </c>
      <c r="D156" s="5">
        <v>0</v>
      </c>
      <c r="E156" s="4">
        <v>28</v>
      </c>
      <c r="F156" s="4">
        <v>32768</v>
      </c>
    </row>
    <row r="157" spans="1:6" x14ac:dyDescent="0.25">
      <c r="A157" s="4">
        <v>32768</v>
      </c>
      <c r="B157" s="4">
        <v>5</v>
      </c>
      <c r="C157" s="5">
        <v>1.5625E-2</v>
      </c>
      <c r="D157" s="5">
        <v>0</v>
      </c>
      <c r="E157" s="4">
        <v>28</v>
      </c>
      <c r="F157" s="4">
        <v>32768</v>
      </c>
    </row>
    <row r="158" spans="1:6" x14ac:dyDescent="0.25">
      <c r="A158" s="4">
        <v>32768</v>
      </c>
      <c r="B158" s="4">
        <v>6</v>
      </c>
      <c r="C158" s="5">
        <v>0</v>
      </c>
      <c r="D158" s="5">
        <v>0</v>
      </c>
      <c r="E158" s="4">
        <v>28</v>
      </c>
      <c r="F158" s="4">
        <v>32768</v>
      </c>
    </row>
    <row r="159" spans="1:6" x14ac:dyDescent="0.25">
      <c r="A159" s="4">
        <v>32768</v>
      </c>
      <c r="B159" s="4">
        <v>7</v>
      </c>
      <c r="C159" s="5">
        <v>0</v>
      </c>
      <c r="D159" s="5">
        <v>0</v>
      </c>
      <c r="E159" s="4">
        <v>28</v>
      </c>
      <c r="F159" s="4">
        <v>32768</v>
      </c>
    </row>
    <row r="160" spans="1:6" x14ac:dyDescent="0.25">
      <c r="A160" s="4">
        <v>32768</v>
      </c>
      <c r="B160" s="4">
        <v>8</v>
      </c>
      <c r="C160" s="5">
        <v>0</v>
      </c>
      <c r="D160" s="5">
        <v>1.5625E-2</v>
      </c>
      <c r="E160" s="4">
        <v>28</v>
      </c>
      <c r="F160" s="4">
        <v>32768</v>
      </c>
    </row>
    <row r="161" spans="1:6" x14ac:dyDescent="0.25">
      <c r="A161" s="4">
        <v>32768</v>
      </c>
      <c r="B161" s="4">
        <v>9</v>
      </c>
      <c r="C161" s="5">
        <v>0</v>
      </c>
      <c r="D161" s="5">
        <v>0</v>
      </c>
      <c r="E161" s="4">
        <v>28</v>
      </c>
      <c r="F161" s="4">
        <v>32768</v>
      </c>
    </row>
    <row r="162" spans="1:6" x14ac:dyDescent="0.25">
      <c r="A162" s="4">
        <v>32768</v>
      </c>
      <c r="B162" s="4">
        <v>10</v>
      </c>
      <c r="C162" s="5">
        <v>0</v>
      </c>
      <c r="D162" s="5">
        <v>1.5625E-2</v>
      </c>
      <c r="E162" s="4">
        <v>28</v>
      </c>
      <c r="F162" s="4">
        <v>32768</v>
      </c>
    </row>
    <row r="163" spans="1:6" x14ac:dyDescent="0.25">
      <c r="A163" s="4">
        <v>32768</v>
      </c>
      <c r="B163" s="4">
        <v>11</v>
      </c>
      <c r="C163" s="5">
        <v>0</v>
      </c>
      <c r="D163" s="5">
        <v>0</v>
      </c>
      <c r="E163" s="4">
        <v>28</v>
      </c>
      <c r="F163" s="4">
        <v>32768</v>
      </c>
    </row>
    <row r="164" spans="1:6" x14ac:dyDescent="0.25">
      <c r="A164" s="4">
        <v>32768</v>
      </c>
      <c r="B164" s="4">
        <v>12</v>
      </c>
      <c r="C164" s="5">
        <v>1.5625E-2</v>
      </c>
      <c r="D164" s="5">
        <v>0</v>
      </c>
      <c r="E164" s="4">
        <v>28</v>
      </c>
      <c r="F164" s="4">
        <v>32768</v>
      </c>
    </row>
    <row r="165" spans="1:6" x14ac:dyDescent="0.25">
      <c r="A165" s="4">
        <v>32768</v>
      </c>
      <c r="B165" s="4">
        <v>13</v>
      </c>
      <c r="C165" s="5">
        <v>0</v>
      </c>
      <c r="D165" s="5">
        <v>0</v>
      </c>
      <c r="E165" s="4">
        <v>28</v>
      </c>
      <c r="F165" s="4">
        <v>32768</v>
      </c>
    </row>
    <row r="166" spans="1:6" x14ac:dyDescent="0.25">
      <c r="A166" s="4">
        <v>32768</v>
      </c>
      <c r="B166" s="4">
        <v>14</v>
      </c>
      <c r="C166" s="5">
        <v>1.5625E-2</v>
      </c>
      <c r="D166" s="5">
        <v>0</v>
      </c>
      <c r="E166" s="4">
        <v>28</v>
      </c>
      <c r="F166" s="4">
        <v>32768</v>
      </c>
    </row>
    <row r="167" spans="1:6" x14ac:dyDescent="0.25">
      <c r="A167" s="4">
        <v>32768</v>
      </c>
      <c r="B167" s="4">
        <v>15</v>
      </c>
      <c r="C167" s="5">
        <v>1.5625E-2</v>
      </c>
      <c r="D167" s="5">
        <v>0</v>
      </c>
      <c r="E167" s="4">
        <v>28</v>
      </c>
      <c r="F167" s="4">
        <v>32768</v>
      </c>
    </row>
    <row r="168" spans="1:6" x14ac:dyDescent="0.25">
      <c r="A168" s="4">
        <v>32768</v>
      </c>
      <c r="B168" s="4">
        <v>16</v>
      </c>
      <c r="C168" s="5">
        <v>0</v>
      </c>
      <c r="D168" s="5">
        <v>0</v>
      </c>
      <c r="E168" s="4">
        <v>28</v>
      </c>
      <c r="F168" s="4">
        <v>32768</v>
      </c>
    </row>
    <row r="169" spans="1:6" x14ac:dyDescent="0.25">
      <c r="A169" s="4">
        <v>32768</v>
      </c>
      <c r="B169" s="4">
        <v>17</v>
      </c>
      <c r="C169" s="5">
        <v>0</v>
      </c>
      <c r="D169" s="5">
        <v>1.5625E-2</v>
      </c>
      <c r="E169" s="4">
        <v>28</v>
      </c>
      <c r="F169" s="4">
        <v>32768</v>
      </c>
    </row>
    <row r="170" spans="1:6" x14ac:dyDescent="0.25">
      <c r="A170" s="4">
        <v>32768</v>
      </c>
      <c r="B170" s="4">
        <v>18</v>
      </c>
      <c r="C170" s="5">
        <v>0</v>
      </c>
      <c r="D170" s="5">
        <v>1.5625E-2</v>
      </c>
      <c r="E170" s="4">
        <v>28</v>
      </c>
      <c r="F170" s="4">
        <v>32768</v>
      </c>
    </row>
    <row r="171" spans="1:6" x14ac:dyDescent="0.25">
      <c r="A171" s="4">
        <v>32768</v>
      </c>
      <c r="B171" s="4">
        <v>19</v>
      </c>
      <c r="C171" s="5">
        <v>0</v>
      </c>
      <c r="D171" s="5">
        <v>0</v>
      </c>
      <c r="E171" s="4">
        <v>28</v>
      </c>
      <c r="F171" s="4">
        <v>32768</v>
      </c>
    </row>
    <row r="172" spans="1:6" x14ac:dyDescent="0.25">
      <c r="A172" s="4">
        <v>32768</v>
      </c>
      <c r="B172" s="4">
        <v>20</v>
      </c>
      <c r="C172" s="5">
        <v>1.5625E-2</v>
      </c>
      <c r="D172" s="5">
        <v>0</v>
      </c>
      <c r="E172" s="4">
        <v>28</v>
      </c>
      <c r="F172" s="4">
        <v>32768</v>
      </c>
    </row>
    <row r="173" spans="1:6" x14ac:dyDescent="0.25">
      <c r="A173" s="4">
        <v>32768</v>
      </c>
      <c r="B173" s="4">
        <v>21</v>
      </c>
      <c r="C173" s="5">
        <v>0</v>
      </c>
      <c r="D173" s="5">
        <v>0</v>
      </c>
      <c r="E173" s="4">
        <v>28</v>
      </c>
      <c r="F173" s="4">
        <v>32768</v>
      </c>
    </row>
    <row r="174" spans="1:6" x14ac:dyDescent="0.25">
      <c r="A174" s="4">
        <v>32768</v>
      </c>
      <c r="B174" s="4">
        <v>22</v>
      </c>
      <c r="C174" s="5">
        <v>1.5625E-2</v>
      </c>
      <c r="D174" s="5">
        <v>1.5625E-2</v>
      </c>
      <c r="E174" s="4">
        <v>28</v>
      </c>
      <c r="F174" s="4">
        <v>32768</v>
      </c>
    </row>
    <row r="175" spans="1:6" x14ac:dyDescent="0.25">
      <c r="A175" s="4">
        <v>32768</v>
      </c>
      <c r="B175" s="4">
        <v>23</v>
      </c>
      <c r="C175" s="5">
        <v>1.5625E-2</v>
      </c>
      <c r="D175" s="5">
        <v>0</v>
      </c>
      <c r="E175" s="4">
        <v>28</v>
      </c>
      <c r="F175" s="4">
        <v>32768</v>
      </c>
    </row>
    <row r="176" spans="1:6" x14ac:dyDescent="0.25">
      <c r="A176" s="4">
        <v>32768</v>
      </c>
      <c r="B176" s="4">
        <v>24</v>
      </c>
      <c r="C176" s="5">
        <v>1.5625E-2</v>
      </c>
      <c r="D176" s="5">
        <v>1.5625E-2</v>
      </c>
      <c r="E176" s="4">
        <v>28</v>
      </c>
      <c r="F176" s="4">
        <v>32768</v>
      </c>
    </row>
    <row r="177" spans="1:6" x14ac:dyDescent="0.25">
      <c r="A177" s="4">
        <v>32768</v>
      </c>
      <c r="B177" s="4">
        <v>25</v>
      </c>
      <c r="C177" s="5">
        <v>1.5625E-2</v>
      </c>
      <c r="D177" s="5">
        <v>1.5625E-2</v>
      </c>
      <c r="E177" s="4">
        <v>28</v>
      </c>
      <c r="F177" s="4">
        <v>32768</v>
      </c>
    </row>
    <row r="178" spans="1:6" x14ac:dyDescent="0.25">
      <c r="A178" s="4">
        <v>32768</v>
      </c>
      <c r="B178" s="4">
        <v>26</v>
      </c>
      <c r="C178" s="5">
        <v>1.5625E-2</v>
      </c>
      <c r="D178" s="5">
        <v>0</v>
      </c>
      <c r="E178" s="4">
        <v>28</v>
      </c>
      <c r="F178" s="4">
        <v>32768</v>
      </c>
    </row>
    <row r="179" spans="1:6" x14ac:dyDescent="0.25">
      <c r="A179" s="4">
        <v>32768</v>
      </c>
      <c r="B179" s="4">
        <v>27</v>
      </c>
      <c r="C179" s="5">
        <v>0</v>
      </c>
      <c r="D179" s="5">
        <v>0</v>
      </c>
      <c r="E179" s="4">
        <v>28</v>
      </c>
      <c r="F179" s="4">
        <v>32768</v>
      </c>
    </row>
    <row r="180" spans="1:6" x14ac:dyDescent="0.25">
      <c r="A180" s="4">
        <v>32768</v>
      </c>
      <c r="B180" s="4">
        <v>28</v>
      </c>
      <c r="C180" s="5">
        <v>1.5625E-2</v>
      </c>
      <c r="D180" s="5">
        <v>1.5625E-2</v>
      </c>
      <c r="E180" s="4">
        <v>28</v>
      </c>
      <c r="F180" s="4">
        <v>32768</v>
      </c>
    </row>
    <row r="181" spans="1:6" x14ac:dyDescent="0.25">
      <c r="A181" s="4">
        <v>32768</v>
      </c>
      <c r="B181" s="4">
        <v>29</v>
      </c>
      <c r="C181" s="5">
        <v>1.5625E-2</v>
      </c>
      <c r="D181" s="5">
        <v>0</v>
      </c>
      <c r="E181" s="4">
        <v>28</v>
      </c>
      <c r="F181" s="4">
        <v>32768</v>
      </c>
    </row>
    <row r="182" spans="1:6" x14ac:dyDescent="0.25">
      <c r="A182" s="4">
        <v>65536</v>
      </c>
      <c r="B182" s="4">
        <v>0</v>
      </c>
      <c r="C182" s="5">
        <v>0</v>
      </c>
      <c r="D182" s="5">
        <v>1.5625E-2</v>
      </c>
      <c r="E182" s="4">
        <v>30</v>
      </c>
      <c r="F182" s="4">
        <v>65536</v>
      </c>
    </row>
    <row r="183" spans="1:6" x14ac:dyDescent="0.25">
      <c r="A183" s="4">
        <v>65536</v>
      </c>
      <c r="B183" s="4">
        <v>1</v>
      </c>
      <c r="C183" s="5">
        <v>1.5625E-2</v>
      </c>
      <c r="D183" s="5">
        <v>1.5625E-2</v>
      </c>
      <c r="E183" s="4">
        <v>30</v>
      </c>
      <c r="F183" s="4">
        <v>65536</v>
      </c>
    </row>
    <row r="184" spans="1:6" x14ac:dyDescent="0.25">
      <c r="A184" s="4">
        <v>65536</v>
      </c>
      <c r="B184" s="4">
        <v>2</v>
      </c>
      <c r="C184" s="5">
        <v>0</v>
      </c>
      <c r="D184" s="5">
        <v>1.5625E-2</v>
      </c>
      <c r="E184" s="4">
        <v>30</v>
      </c>
      <c r="F184" s="4">
        <v>65536</v>
      </c>
    </row>
    <row r="185" spans="1:6" x14ac:dyDescent="0.25">
      <c r="A185" s="4">
        <v>65536</v>
      </c>
      <c r="B185" s="4">
        <v>3</v>
      </c>
      <c r="C185" s="5">
        <v>1.5625E-2</v>
      </c>
      <c r="D185" s="5">
        <v>0</v>
      </c>
      <c r="E185" s="4">
        <v>30</v>
      </c>
      <c r="F185" s="4">
        <v>65536</v>
      </c>
    </row>
    <row r="186" spans="1:6" x14ac:dyDescent="0.25">
      <c r="A186" s="4">
        <v>65536</v>
      </c>
      <c r="B186" s="4">
        <v>4</v>
      </c>
      <c r="C186" s="5">
        <v>0</v>
      </c>
      <c r="D186" s="5">
        <v>1.5625E-2</v>
      </c>
      <c r="E186" s="4">
        <v>30</v>
      </c>
      <c r="F186" s="4">
        <v>65536</v>
      </c>
    </row>
    <row r="187" spans="1:6" x14ac:dyDescent="0.25">
      <c r="A187" s="4">
        <v>65536</v>
      </c>
      <c r="B187" s="4">
        <v>5</v>
      </c>
      <c r="C187" s="5">
        <v>1.5625E-2</v>
      </c>
      <c r="D187" s="5">
        <v>0</v>
      </c>
      <c r="E187" s="4">
        <v>30</v>
      </c>
      <c r="F187" s="4">
        <v>65536</v>
      </c>
    </row>
    <row r="188" spans="1:6" x14ac:dyDescent="0.25">
      <c r="A188" s="4">
        <v>65536</v>
      </c>
      <c r="B188" s="4">
        <v>6</v>
      </c>
      <c r="C188" s="5">
        <v>0</v>
      </c>
      <c r="D188" s="5">
        <v>1.5625E-2</v>
      </c>
      <c r="E188" s="4">
        <v>30</v>
      </c>
      <c r="F188" s="4">
        <v>65536</v>
      </c>
    </row>
    <row r="189" spans="1:6" x14ac:dyDescent="0.25">
      <c r="A189" s="4">
        <v>65536</v>
      </c>
      <c r="B189" s="4">
        <v>7</v>
      </c>
      <c r="C189" s="5">
        <v>0</v>
      </c>
      <c r="D189" s="5">
        <v>0</v>
      </c>
      <c r="E189" s="4">
        <v>30</v>
      </c>
      <c r="F189" s="4">
        <v>65536</v>
      </c>
    </row>
    <row r="190" spans="1:6" x14ac:dyDescent="0.25">
      <c r="A190" s="4">
        <v>65536</v>
      </c>
      <c r="B190" s="4">
        <v>8</v>
      </c>
      <c r="C190" s="5">
        <v>1.5625E-2</v>
      </c>
      <c r="D190" s="5">
        <v>0</v>
      </c>
      <c r="E190" s="4">
        <v>30</v>
      </c>
      <c r="F190" s="4">
        <v>65536</v>
      </c>
    </row>
    <row r="191" spans="1:6" x14ac:dyDescent="0.25">
      <c r="A191" s="4">
        <v>65536</v>
      </c>
      <c r="B191" s="4">
        <v>9</v>
      </c>
      <c r="C191" s="5">
        <v>0</v>
      </c>
      <c r="D191" s="5">
        <v>1.5625E-2</v>
      </c>
      <c r="E191" s="4">
        <v>30</v>
      </c>
      <c r="F191" s="4">
        <v>65536</v>
      </c>
    </row>
    <row r="192" spans="1:6" x14ac:dyDescent="0.25">
      <c r="A192" s="4">
        <v>65536</v>
      </c>
      <c r="B192" s="4">
        <v>10</v>
      </c>
      <c r="C192" s="5">
        <v>0</v>
      </c>
      <c r="D192" s="5">
        <v>1.5625E-2</v>
      </c>
      <c r="E192" s="4">
        <v>30</v>
      </c>
      <c r="F192" s="4">
        <v>65536</v>
      </c>
    </row>
    <row r="193" spans="1:6" x14ac:dyDescent="0.25">
      <c r="A193" s="4">
        <v>65536</v>
      </c>
      <c r="B193" s="4">
        <v>11</v>
      </c>
      <c r="C193" s="5">
        <v>0</v>
      </c>
      <c r="D193" s="5">
        <v>1.5625E-2</v>
      </c>
      <c r="E193" s="4">
        <v>30</v>
      </c>
      <c r="F193" s="4">
        <v>65536</v>
      </c>
    </row>
    <row r="194" spans="1:6" x14ac:dyDescent="0.25">
      <c r="A194" s="4">
        <v>65536</v>
      </c>
      <c r="B194" s="4">
        <v>12</v>
      </c>
      <c r="C194" s="5">
        <v>1.5625E-2</v>
      </c>
      <c r="D194" s="5">
        <v>0</v>
      </c>
      <c r="E194" s="4">
        <v>30</v>
      </c>
      <c r="F194" s="4">
        <v>65536</v>
      </c>
    </row>
    <row r="195" spans="1:6" x14ac:dyDescent="0.25">
      <c r="A195" s="4">
        <v>65536</v>
      </c>
      <c r="B195" s="4">
        <v>13</v>
      </c>
      <c r="C195" s="5">
        <v>1.5625E-2</v>
      </c>
      <c r="D195" s="5">
        <v>0</v>
      </c>
      <c r="E195" s="4">
        <v>30</v>
      </c>
      <c r="F195" s="4">
        <v>65536</v>
      </c>
    </row>
    <row r="196" spans="1:6" x14ac:dyDescent="0.25">
      <c r="A196" s="4">
        <v>65536</v>
      </c>
      <c r="B196" s="4">
        <v>14</v>
      </c>
      <c r="C196" s="5">
        <v>0</v>
      </c>
      <c r="D196" s="5">
        <v>1.5625E-2</v>
      </c>
      <c r="E196" s="4">
        <v>30</v>
      </c>
      <c r="F196" s="4">
        <v>65536</v>
      </c>
    </row>
    <row r="197" spans="1:6" x14ac:dyDescent="0.25">
      <c r="A197" s="4">
        <v>65536</v>
      </c>
      <c r="B197" s="4">
        <v>15</v>
      </c>
      <c r="C197" s="5">
        <v>0</v>
      </c>
      <c r="D197" s="5">
        <v>0</v>
      </c>
      <c r="E197" s="4">
        <v>30</v>
      </c>
      <c r="F197" s="4">
        <v>65536</v>
      </c>
    </row>
    <row r="198" spans="1:6" x14ac:dyDescent="0.25">
      <c r="A198" s="4">
        <v>65536</v>
      </c>
      <c r="B198" s="4">
        <v>16</v>
      </c>
      <c r="C198" s="5">
        <v>1.5625E-2</v>
      </c>
      <c r="D198" s="5">
        <v>0</v>
      </c>
      <c r="E198" s="4">
        <v>30</v>
      </c>
      <c r="F198" s="4">
        <v>65536</v>
      </c>
    </row>
    <row r="199" spans="1:6" x14ac:dyDescent="0.25">
      <c r="A199" s="4">
        <v>65536</v>
      </c>
      <c r="B199" s="4">
        <v>17</v>
      </c>
      <c r="C199" s="5">
        <v>0</v>
      </c>
      <c r="D199" s="5">
        <v>1.5625E-2</v>
      </c>
      <c r="E199" s="4">
        <v>30</v>
      </c>
      <c r="F199" s="4">
        <v>65536</v>
      </c>
    </row>
    <row r="200" spans="1:6" x14ac:dyDescent="0.25">
      <c r="A200" s="4">
        <v>65536</v>
      </c>
      <c r="B200" s="4">
        <v>18</v>
      </c>
      <c r="C200" s="5">
        <v>0</v>
      </c>
      <c r="D200" s="5">
        <v>0</v>
      </c>
      <c r="E200" s="4">
        <v>30</v>
      </c>
      <c r="F200" s="4">
        <v>65536</v>
      </c>
    </row>
    <row r="201" spans="1:6" x14ac:dyDescent="0.25">
      <c r="A201" s="4">
        <v>65536</v>
      </c>
      <c r="B201" s="4">
        <v>19</v>
      </c>
      <c r="C201" s="5">
        <v>0</v>
      </c>
      <c r="D201" s="5">
        <v>1.5625E-2</v>
      </c>
      <c r="E201" s="4">
        <v>30</v>
      </c>
      <c r="F201" s="4">
        <v>65536</v>
      </c>
    </row>
    <row r="202" spans="1:6" x14ac:dyDescent="0.25">
      <c r="A202" s="4">
        <v>65536</v>
      </c>
      <c r="B202" s="4">
        <v>20</v>
      </c>
      <c r="C202" s="5">
        <v>1.5625E-2</v>
      </c>
      <c r="D202" s="5">
        <v>0</v>
      </c>
      <c r="E202" s="4">
        <v>30</v>
      </c>
      <c r="F202" s="4">
        <v>65536</v>
      </c>
    </row>
    <row r="203" spans="1:6" x14ac:dyDescent="0.25">
      <c r="A203" s="4">
        <v>65536</v>
      </c>
      <c r="B203" s="4">
        <v>21</v>
      </c>
      <c r="C203" s="5">
        <v>1.5625E-2</v>
      </c>
      <c r="D203" s="5">
        <v>0</v>
      </c>
      <c r="E203" s="4">
        <v>30</v>
      </c>
      <c r="F203" s="4">
        <v>65536</v>
      </c>
    </row>
    <row r="204" spans="1:6" x14ac:dyDescent="0.25">
      <c r="A204" s="4">
        <v>65536</v>
      </c>
      <c r="B204" s="4">
        <v>22</v>
      </c>
      <c r="C204" s="5">
        <v>0</v>
      </c>
      <c r="D204" s="5">
        <v>0</v>
      </c>
      <c r="E204" s="4">
        <v>30</v>
      </c>
      <c r="F204" s="4">
        <v>65536</v>
      </c>
    </row>
    <row r="205" spans="1:6" x14ac:dyDescent="0.25">
      <c r="A205" s="4">
        <v>65536</v>
      </c>
      <c r="B205" s="4">
        <v>23</v>
      </c>
      <c r="C205" s="5">
        <v>0</v>
      </c>
      <c r="D205" s="5">
        <v>1.5625E-2</v>
      </c>
      <c r="E205" s="4">
        <v>30</v>
      </c>
      <c r="F205" s="4">
        <v>65536</v>
      </c>
    </row>
    <row r="206" spans="1:6" x14ac:dyDescent="0.25">
      <c r="A206" s="4">
        <v>65536</v>
      </c>
      <c r="B206" s="4">
        <v>24</v>
      </c>
      <c r="C206" s="5">
        <v>1.5625E-2</v>
      </c>
      <c r="D206" s="5">
        <v>0</v>
      </c>
      <c r="E206" s="4">
        <v>30</v>
      </c>
      <c r="F206" s="4">
        <v>65536</v>
      </c>
    </row>
    <row r="207" spans="1:6" x14ac:dyDescent="0.25">
      <c r="A207" s="4">
        <v>65536</v>
      </c>
      <c r="B207" s="4">
        <v>25</v>
      </c>
      <c r="C207" s="5">
        <v>0</v>
      </c>
      <c r="D207" s="5">
        <v>1.5625E-2</v>
      </c>
      <c r="E207" s="4">
        <v>30</v>
      </c>
      <c r="F207" s="4">
        <v>65536</v>
      </c>
    </row>
    <row r="208" spans="1:6" x14ac:dyDescent="0.25">
      <c r="A208" s="4">
        <v>65536</v>
      </c>
      <c r="B208" s="4">
        <v>26</v>
      </c>
      <c r="C208" s="5">
        <v>1.5625E-2</v>
      </c>
      <c r="D208" s="5">
        <v>1.5625E-2</v>
      </c>
      <c r="E208" s="4">
        <v>30</v>
      </c>
      <c r="F208" s="4">
        <v>65536</v>
      </c>
    </row>
    <row r="209" spans="1:6" x14ac:dyDescent="0.25">
      <c r="A209" s="4">
        <v>65536</v>
      </c>
      <c r="B209" s="4">
        <v>27</v>
      </c>
      <c r="C209" s="5">
        <v>1.5625E-2</v>
      </c>
      <c r="D209" s="5">
        <v>1.5625E-2</v>
      </c>
      <c r="E209" s="4">
        <v>30</v>
      </c>
      <c r="F209" s="4">
        <v>65536</v>
      </c>
    </row>
    <row r="210" spans="1:6" x14ac:dyDescent="0.25">
      <c r="A210" s="4">
        <v>65536</v>
      </c>
      <c r="B210" s="4">
        <v>28</v>
      </c>
      <c r="C210" s="5">
        <v>1.5625E-2</v>
      </c>
      <c r="D210" s="5">
        <v>1.5625E-2</v>
      </c>
      <c r="E210" s="4">
        <v>30</v>
      </c>
      <c r="F210" s="4">
        <v>65536</v>
      </c>
    </row>
    <row r="211" spans="1:6" x14ac:dyDescent="0.25">
      <c r="A211" s="4">
        <v>65536</v>
      </c>
      <c r="B211" s="4">
        <v>29</v>
      </c>
      <c r="C211" s="5">
        <v>1.5625E-2</v>
      </c>
      <c r="D211" s="5">
        <v>1.5625E-2</v>
      </c>
      <c r="E211" s="4">
        <v>30</v>
      </c>
      <c r="F211" s="4">
        <v>65536</v>
      </c>
    </row>
    <row r="212" spans="1:6" x14ac:dyDescent="0.25">
      <c r="A212" s="4">
        <v>131072</v>
      </c>
      <c r="B212" s="4">
        <v>0</v>
      </c>
      <c r="C212" s="5">
        <v>4.6875E-2</v>
      </c>
      <c r="D212" s="5">
        <v>0</v>
      </c>
      <c r="E212" s="4">
        <v>32</v>
      </c>
      <c r="F212" s="4">
        <v>131072</v>
      </c>
    </row>
    <row r="213" spans="1:6" x14ac:dyDescent="0.25">
      <c r="A213" s="4">
        <v>131072</v>
      </c>
      <c r="B213" s="4">
        <v>1</v>
      </c>
      <c r="C213" s="5">
        <v>1.5625E-2</v>
      </c>
      <c r="D213" s="5">
        <v>1.5625E-2</v>
      </c>
      <c r="E213" s="4">
        <v>32</v>
      </c>
      <c r="F213" s="4">
        <v>131072</v>
      </c>
    </row>
    <row r="214" spans="1:6" x14ac:dyDescent="0.25">
      <c r="A214" s="4">
        <v>131072</v>
      </c>
      <c r="B214" s="4">
        <v>2</v>
      </c>
      <c r="C214" s="5">
        <v>1.5625E-2</v>
      </c>
      <c r="D214" s="5">
        <v>0</v>
      </c>
      <c r="E214" s="4">
        <v>32</v>
      </c>
      <c r="F214" s="4">
        <v>131072</v>
      </c>
    </row>
    <row r="215" spans="1:6" x14ac:dyDescent="0.25">
      <c r="A215" s="4">
        <v>131072</v>
      </c>
      <c r="B215" s="4">
        <v>3</v>
      </c>
      <c r="C215" s="5">
        <v>1.5625E-2</v>
      </c>
      <c r="D215" s="5">
        <v>3.125E-2</v>
      </c>
      <c r="E215" s="4">
        <v>32</v>
      </c>
      <c r="F215" s="4">
        <v>131072</v>
      </c>
    </row>
    <row r="216" spans="1:6" x14ac:dyDescent="0.25">
      <c r="A216" s="4">
        <v>131072</v>
      </c>
      <c r="B216" s="4">
        <v>4</v>
      </c>
      <c r="C216" s="5">
        <v>0</v>
      </c>
      <c r="D216" s="5">
        <v>1.5625E-2</v>
      </c>
      <c r="E216" s="4">
        <v>32</v>
      </c>
      <c r="F216" s="4">
        <v>131072</v>
      </c>
    </row>
    <row r="217" spans="1:6" x14ac:dyDescent="0.25">
      <c r="A217" s="4">
        <v>131072</v>
      </c>
      <c r="B217" s="4">
        <v>5</v>
      </c>
      <c r="C217" s="5">
        <v>0</v>
      </c>
      <c r="D217" s="5">
        <v>1.5625E-2</v>
      </c>
      <c r="E217" s="4">
        <v>32</v>
      </c>
      <c r="F217" s="4">
        <v>131072</v>
      </c>
    </row>
    <row r="218" spans="1:6" x14ac:dyDescent="0.25">
      <c r="A218" s="4">
        <v>131072</v>
      </c>
      <c r="B218" s="4">
        <v>6</v>
      </c>
      <c r="C218" s="5">
        <v>1.5625E-2</v>
      </c>
      <c r="D218" s="5">
        <v>3.125E-2</v>
      </c>
      <c r="E218" s="4">
        <v>32</v>
      </c>
      <c r="F218" s="4">
        <v>131072</v>
      </c>
    </row>
    <row r="219" spans="1:6" x14ac:dyDescent="0.25">
      <c r="A219" s="4">
        <v>131072</v>
      </c>
      <c r="B219" s="4">
        <v>7</v>
      </c>
      <c r="C219" s="5">
        <v>1.5625E-2</v>
      </c>
      <c r="D219" s="5">
        <v>1.5625E-2</v>
      </c>
      <c r="E219" s="4">
        <v>32</v>
      </c>
      <c r="F219" s="4">
        <v>131072</v>
      </c>
    </row>
    <row r="220" spans="1:6" x14ac:dyDescent="0.25">
      <c r="A220" s="4">
        <v>131072</v>
      </c>
      <c r="B220" s="4">
        <v>8</v>
      </c>
      <c r="C220" s="5">
        <v>1.5625E-2</v>
      </c>
      <c r="D220" s="5">
        <v>1.5625E-2</v>
      </c>
      <c r="E220" s="4">
        <v>32</v>
      </c>
      <c r="F220" s="4">
        <v>131072</v>
      </c>
    </row>
    <row r="221" spans="1:6" x14ac:dyDescent="0.25">
      <c r="A221" s="4">
        <v>131072</v>
      </c>
      <c r="B221" s="4">
        <v>9</v>
      </c>
      <c r="C221" s="5">
        <v>1.5625E-2</v>
      </c>
      <c r="D221" s="5">
        <v>1.5625E-2</v>
      </c>
      <c r="E221" s="4">
        <v>32</v>
      </c>
      <c r="F221" s="4">
        <v>131072</v>
      </c>
    </row>
    <row r="222" spans="1:6" x14ac:dyDescent="0.25">
      <c r="A222" s="4">
        <v>131072</v>
      </c>
      <c r="B222" s="4">
        <v>10</v>
      </c>
      <c r="C222" s="5">
        <v>1.5625E-2</v>
      </c>
      <c r="D222" s="5">
        <v>1.5625E-2</v>
      </c>
      <c r="E222" s="4">
        <v>32</v>
      </c>
      <c r="F222" s="4">
        <v>131072</v>
      </c>
    </row>
    <row r="223" spans="1:6" x14ac:dyDescent="0.25">
      <c r="A223" s="4">
        <v>131072</v>
      </c>
      <c r="B223" s="4">
        <v>11</v>
      </c>
      <c r="C223" s="5">
        <v>1.5625E-2</v>
      </c>
      <c r="D223" s="5">
        <v>3.125E-2</v>
      </c>
      <c r="E223" s="4">
        <v>32</v>
      </c>
      <c r="F223" s="4">
        <v>131072</v>
      </c>
    </row>
    <row r="224" spans="1:6" x14ac:dyDescent="0.25">
      <c r="A224" s="4">
        <v>131072</v>
      </c>
      <c r="B224" s="4">
        <v>12</v>
      </c>
      <c r="C224" s="5">
        <v>3.125E-2</v>
      </c>
      <c r="D224" s="5">
        <v>1.5625E-2</v>
      </c>
      <c r="E224" s="4">
        <v>32</v>
      </c>
      <c r="F224" s="4">
        <v>131072</v>
      </c>
    </row>
    <row r="225" spans="1:6" x14ac:dyDescent="0.25">
      <c r="A225" s="4">
        <v>131072</v>
      </c>
      <c r="B225" s="4">
        <v>13</v>
      </c>
      <c r="C225" s="5">
        <v>3.125E-2</v>
      </c>
      <c r="D225" s="5">
        <v>1.5625E-2</v>
      </c>
      <c r="E225" s="4">
        <v>32</v>
      </c>
      <c r="F225" s="4">
        <v>131072</v>
      </c>
    </row>
    <row r="226" spans="1:6" x14ac:dyDescent="0.25">
      <c r="A226" s="4">
        <v>131072</v>
      </c>
      <c r="B226" s="4">
        <v>14</v>
      </c>
      <c r="C226" s="5">
        <v>1.5625E-2</v>
      </c>
      <c r="D226" s="5">
        <v>1.5625E-2</v>
      </c>
      <c r="E226" s="4">
        <v>32</v>
      </c>
      <c r="F226" s="4">
        <v>131072</v>
      </c>
    </row>
    <row r="227" spans="1:6" x14ac:dyDescent="0.25">
      <c r="A227" s="4">
        <v>131072</v>
      </c>
      <c r="B227" s="4">
        <v>15</v>
      </c>
      <c r="C227" s="5">
        <v>1.5625E-2</v>
      </c>
      <c r="D227" s="5">
        <v>1.5625E-2</v>
      </c>
      <c r="E227" s="4">
        <v>32</v>
      </c>
      <c r="F227" s="4">
        <v>131072</v>
      </c>
    </row>
    <row r="228" spans="1:6" x14ac:dyDescent="0.25">
      <c r="A228" s="4">
        <v>131072</v>
      </c>
      <c r="B228" s="4">
        <v>16</v>
      </c>
      <c r="C228" s="5">
        <v>1.5625E-2</v>
      </c>
      <c r="D228" s="5">
        <v>3.125E-2</v>
      </c>
      <c r="E228" s="4">
        <v>32</v>
      </c>
      <c r="F228" s="4">
        <v>131072</v>
      </c>
    </row>
    <row r="229" spans="1:6" x14ac:dyDescent="0.25">
      <c r="A229" s="4">
        <v>131072</v>
      </c>
      <c r="B229" s="4">
        <v>17</v>
      </c>
      <c r="C229" s="5">
        <v>1.5625E-2</v>
      </c>
      <c r="D229" s="5">
        <v>1.5625E-2</v>
      </c>
      <c r="E229" s="4">
        <v>32</v>
      </c>
      <c r="F229" s="4">
        <v>131072</v>
      </c>
    </row>
    <row r="230" spans="1:6" x14ac:dyDescent="0.25">
      <c r="A230" s="4">
        <v>131072</v>
      </c>
      <c r="B230" s="4">
        <v>18</v>
      </c>
      <c r="C230" s="5">
        <v>3.125E-2</v>
      </c>
      <c r="D230" s="5">
        <v>1.5625E-2</v>
      </c>
      <c r="E230" s="4">
        <v>32</v>
      </c>
      <c r="F230" s="4">
        <v>131072</v>
      </c>
    </row>
    <row r="231" spans="1:6" x14ac:dyDescent="0.25">
      <c r="A231" s="4">
        <v>131072</v>
      </c>
      <c r="B231" s="4">
        <v>19</v>
      </c>
      <c r="C231" s="5">
        <v>1.5625E-2</v>
      </c>
      <c r="D231" s="5">
        <v>3.125E-2</v>
      </c>
      <c r="E231" s="4">
        <v>32</v>
      </c>
      <c r="F231" s="4">
        <v>131072</v>
      </c>
    </row>
    <row r="232" spans="1:6" x14ac:dyDescent="0.25">
      <c r="A232" s="4">
        <v>131072</v>
      </c>
      <c r="B232" s="4">
        <v>20</v>
      </c>
      <c r="C232" s="5">
        <v>1.5625E-2</v>
      </c>
      <c r="D232" s="5">
        <v>1.5625E-2</v>
      </c>
      <c r="E232" s="4">
        <v>32</v>
      </c>
      <c r="F232" s="4">
        <v>131072</v>
      </c>
    </row>
    <row r="233" spans="1:6" x14ac:dyDescent="0.25">
      <c r="A233" s="4">
        <v>131072</v>
      </c>
      <c r="B233" s="4">
        <v>21</v>
      </c>
      <c r="C233" s="5">
        <v>1.5625E-2</v>
      </c>
      <c r="D233" s="5">
        <v>3.125E-2</v>
      </c>
      <c r="E233" s="4">
        <v>32</v>
      </c>
      <c r="F233" s="4">
        <v>131072</v>
      </c>
    </row>
    <row r="234" spans="1:6" x14ac:dyDescent="0.25">
      <c r="A234" s="4">
        <v>131072</v>
      </c>
      <c r="B234" s="4">
        <v>22</v>
      </c>
      <c r="C234" s="5">
        <v>1.5625E-2</v>
      </c>
      <c r="D234" s="5">
        <v>3.125E-2</v>
      </c>
      <c r="E234" s="4">
        <v>32</v>
      </c>
      <c r="F234" s="4">
        <v>131072</v>
      </c>
    </row>
    <row r="235" spans="1:6" x14ac:dyDescent="0.25">
      <c r="A235" s="4">
        <v>131072</v>
      </c>
      <c r="B235" s="4">
        <v>23</v>
      </c>
      <c r="C235" s="5">
        <v>4.6875E-2</v>
      </c>
      <c r="D235" s="5">
        <v>3.125E-2</v>
      </c>
      <c r="E235" s="4">
        <v>32</v>
      </c>
      <c r="F235" s="4">
        <v>131072</v>
      </c>
    </row>
    <row r="236" spans="1:6" x14ac:dyDescent="0.25">
      <c r="A236" s="4">
        <v>131072</v>
      </c>
      <c r="B236" s="4">
        <v>24</v>
      </c>
      <c r="C236" s="5">
        <v>3.125E-2</v>
      </c>
      <c r="D236" s="5">
        <v>4.6875E-2</v>
      </c>
      <c r="E236" s="4">
        <v>32</v>
      </c>
      <c r="F236" s="4">
        <v>131072</v>
      </c>
    </row>
    <row r="237" spans="1:6" x14ac:dyDescent="0.25">
      <c r="A237" s="4">
        <v>131072</v>
      </c>
      <c r="B237" s="4">
        <v>25</v>
      </c>
      <c r="C237" s="5">
        <v>3.125E-2</v>
      </c>
      <c r="D237" s="5">
        <v>4.6875E-2</v>
      </c>
      <c r="E237" s="4">
        <v>32</v>
      </c>
      <c r="F237" s="4">
        <v>131072</v>
      </c>
    </row>
    <row r="238" spans="1:6" x14ac:dyDescent="0.25">
      <c r="A238" s="4">
        <v>131072</v>
      </c>
      <c r="B238" s="4">
        <v>26</v>
      </c>
      <c r="C238" s="5">
        <v>1.5625E-2</v>
      </c>
      <c r="D238" s="5">
        <v>4.6875E-2</v>
      </c>
      <c r="E238" s="4">
        <v>32</v>
      </c>
      <c r="F238" s="4">
        <v>131072</v>
      </c>
    </row>
    <row r="239" spans="1:6" x14ac:dyDescent="0.25">
      <c r="A239" s="4">
        <v>131072</v>
      </c>
      <c r="B239" s="4">
        <v>27</v>
      </c>
      <c r="C239" s="5">
        <v>4.6875E-2</v>
      </c>
      <c r="D239" s="5">
        <v>3.125E-2</v>
      </c>
      <c r="E239" s="4">
        <v>32</v>
      </c>
      <c r="F239" s="4">
        <v>131072</v>
      </c>
    </row>
    <row r="240" spans="1:6" x14ac:dyDescent="0.25">
      <c r="A240" s="4">
        <v>131072</v>
      </c>
      <c r="B240" s="4">
        <v>28</v>
      </c>
      <c r="C240" s="5">
        <v>3.125E-2</v>
      </c>
      <c r="D240" s="5">
        <v>3.125E-2</v>
      </c>
      <c r="E240" s="4">
        <v>32</v>
      </c>
      <c r="F240" s="4">
        <v>131072</v>
      </c>
    </row>
    <row r="241" spans="1:6" x14ac:dyDescent="0.25">
      <c r="A241" s="4">
        <v>131072</v>
      </c>
      <c r="B241" s="4">
        <v>29</v>
      </c>
      <c r="C241" s="5">
        <v>4.6875E-2</v>
      </c>
      <c r="D241" s="5">
        <v>3.125E-2</v>
      </c>
      <c r="E241" s="4">
        <v>32</v>
      </c>
      <c r="F241" s="4">
        <v>131072</v>
      </c>
    </row>
    <row r="242" spans="1:6" x14ac:dyDescent="0.25">
      <c r="A242" s="4">
        <v>262144</v>
      </c>
      <c r="B242" s="4">
        <v>0</v>
      </c>
      <c r="C242" s="5">
        <v>3.125E-2</v>
      </c>
      <c r="D242" s="5">
        <v>4.6875E-2</v>
      </c>
      <c r="E242" s="4">
        <v>34</v>
      </c>
      <c r="F242" s="4">
        <v>262144</v>
      </c>
    </row>
    <row r="243" spans="1:6" x14ac:dyDescent="0.25">
      <c r="A243" s="4">
        <v>262144</v>
      </c>
      <c r="B243" s="4">
        <v>1</v>
      </c>
      <c r="C243" s="5">
        <v>4.6875E-2</v>
      </c>
      <c r="D243" s="5">
        <v>6.25E-2</v>
      </c>
      <c r="E243" s="4">
        <v>34</v>
      </c>
      <c r="F243" s="4">
        <v>262144</v>
      </c>
    </row>
    <row r="244" spans="1:6" x14ac:dyDescent="0.25">
      <c r="A244" s="4">
        <v>262144</v>
      </c>
      <c r="B244" s="4">
        <v>2</v>
      </c>
      <c r="C244" s="5">
        <v>4.6875E-2</v>
      </c>
      <c r="D244" s="5">
        <v>1.5625E-2</v>
      </c>
      <c r="E244" s="4">
        <v>34</v>
      </c>
      <c r="F244" s="4">
        <v>262144</v>
      </c>
    </row>
    <row r="245" spans="1:6" x14ac:dyDescent="0.25">
      <c r="A245" s="4">
        <v>262144</v>
      </c>
      <c r="B245" s="4">
        <v>3</v>
      </c>
      <c r="C245" s="5">
        <v>3.125E-2</v>
      </c>
      <c r="D245" s="5">
        <v>4.6875E-2</v>
      </c>
      <c r="E245" s="4">
        <v>34</v>
      </c>
      <c r="F245" s="4">
        <v>262144</v>
      </c>
    </row>
    <row r="246" spans="1:6" x14ac:dyDescent="0.25">
      <c r="A246" s="4">
        <v>262144</v>
      </c>
      <c r="B246" s="4">
        <v>4</v>
      </c>
      <c r="C246" s="5">
        <v>3.125E-2</v>
      </c>
      <c r="D246" s="5">
        <v>3.125E-2</v>
      </c>
      <c r="E246" s="4">
        <v>34</v>
      </c>
      <c r="F246" s="4">
        <v>262144</v>
      </c>
    </row>
    <row r="247" spans="1:6" x14ac:dyDescent="0.25">
      <c r="A247" s="4">
        <v>262144</v>
      </c>
      <c r="B247" s="4">
        <v>5</v>
      </c>
      <c r="C247" s="5">
        <v>3.125E-2</v>
      </c>
      <c r="D247" s="5">
        <v>3.125E-2</v>
      </c>
      <c r="E247" s="4">
        <v>34</v>
      </c>
      <c r="F247" s="4">
        <v>262144</v>
      </c>
    </row>
    <row r="248" spans="1:6" x14ac:dyDescent="0.25">
      <c r="A248" s="4">
        <v>262144</v>
      </c>
      <c r="B248" s="4">
        <v>6</v>
      </c>
      <c r="C248" s="5">
        <v>1.5625E-2</v>
      </c>
      <c r="D248" s="5">
        <v>4.6875E-2</v>
      </c>
      <c r="E248" s="4">
        <v>34</v>
      </c>
      <c r="F248" s="4">
        <v>262144</v>
      </c>
    </row>
    <row r="249" spans="1:6" x14ac:dyDescent="0.25">
      <c r="A249" s="4">
        <v>262144</v>
      </c>
      <c r="B249" s="4">
        <v>7</v>
      </c>
      <c r="C249" s="5">
        <v>3.125E-2</v>
      </c>
      <c r="D249" s="5">
        <v>3.125E-2</v>
      </c>
      <c r="E249" s="4">
        <v>34</v>
      </c>
      <c r="F249" s="4">
        <v>262144</v>
      </c>
    </row>
    <row r="250" spans="1:6" x14ac:dyDescent="0.25">
      <c r="A250" s="4">
        <v>262144</v>
      </c>
      <c r="B250" s="4">
        <v>8</v>
      </c>
      <c r="C250" s="5">
        <v>1.5625E-2</v>
      </c>
      <c r="D250" s="5">
        <v>3.125E-2</v>
      </c>
      <c r="E250" s="4">
        <v>34</v>
      </c>
      <c r="F250" s="4">
        <v>262144</v>
      </c>
    </row>
    <row r="251" spans="1:6" x14ac:dyDescent="0.25">
      <c r="A251" s="4">
        <v>262144</v>
      </c>
      <c r="B251" s="4">
        <v>9</v>
      </c>
      <c r="C251" s="5">
        <v>3.125E-2</v>
      </c>
      <c r="D251" s="5">
        <v>3.125E-2</v>
      </c>
      <c r="E251" s="4">
        <v>34</v>
      </c>
      <c r="F251" s="4">
        <v>262144</v>
      </c>
    </row>
    <row r="252" spans="1:6" x14ac:dyDescent="0.25">
      <c r="A252" s="4">
        <v>262144</v>
      </c>
      <c r="B252" s="4">
        <v>10</v>
      </c>
      <c r="C252" s="5">
        <v>3.125E-2</v>
      </c>
      <c r="D252" s="5">
        <v>3.125E-2</v>
      </c>
      <c r="E252" s="4">
        <v>34</v>
      </c>
      <c r="F252" s="4">
        <v>262144</v>
      </c>
    </row>
    <row r="253" spans="1:6" x14ac:dyDescent="0.25">
      <c r="A253" s="4">
        <v>262144</v>
      </c>
      <c r="B253" s="4">
        <v>11</v>
      </c>
      <c r="C253" s="5">
        <v>3.125E-2</v>
      </c>
      <c r="D253" s="5">
        <v>3.125E-2</v>
      </c>
      <c r="E253" s="4">
        <v>34</v>
      </c>
      <c r="F253" s="4">
        <v>262144</v>
      </c>
    </row>
    <row r="254" spans="1:6" x14ac:dyDescent="0.25">
      <c r="A254" s="4">
        <v>262144</v>
      </c>
      <c r="B254" s="4">
        <v>12</v>
      </c>
      <c r="C254" s="5">
        <v>3.125E-2</v>
      </c>
      <c r="D254" s="5">
        <v>1.5625E-2</v>
      </c>
      <c r="E254" s="4">
        <v>34</v>
      </c>
      <c r="F254" s="4">
        <v>262144</v>
      </c>
    </row>
    <row r="255" spans="1:6" x14ac:dyDescent="0.25">
      <c r="A255" s="4">
        <v>262144</v>
      </c>
      <c r="B255" s="4">
        <v>13</v>
      </c>
      <c r="C255" s="5">
        <v>3.125E-2</v>
      </c>
      <c r="D255" s="5">
        <v>4.6875E-2</v>
      </c>
      <c r="E255" s="4">
        <v>34</v>
      </c>
      <c r="F255" s="4">
        <v>262144</v>
      </c>
    </row>
    <row r="256" spans="1:6" x14ac:dyDescent="0.25">
      <c r="A256" s="4">
        <v>262144</v>
      </c>
      <c r="B256" s="4">
        <v>14</v>
      </c>
      <c r="C256" s="5">
        <v>3.125E-2</v>
      </c>
      <c r="D256" s="5">
        <v>3.125E-2</v>
      </c>
      <c r="E256" s="4">
        <v>34</v>
      </c>
      <c r="F256" s="4">
        <v>262144</v>
      </c>
    </row>
    <row r="257" spans="1:6" x14ac:dyDescent="0.25">
      <c r="A257" s="4">
        <v>262144</v>
      </c>
      <c r="B257" s="4">
        <v>15</v>
      </c>
      <c r="C257" s="5">
        <v>1.5625E-2</v>
      </c>
      <c r="D257" s="5">
        <v>3.125E-2</v>
      </c>
      <c r="E257" s="4">
        <v>34</v>
      </c>
      <c r="F257" s="4">
        <v>262144</v>
      </c>
    </row>
    <row r="258" spans="1:6" x14ac:dyDescent="0.25">
      <c r="A258" s="4">
        <v>262144</v>
      </c>
      <c r="B258" s="4">
        <v>16</v>
      </c>
      <c r="C258" s="5">
        <v>1.5625E-2</v>
      </c>
      <c r="D258" s="5">
        <v>3.125E-2</v>
      </c>
      <c r="E258" s="4">
        <v>34</v>
      </c>
      <c r="F258" s="4">
        <v>262144</v>
      </c>
    </row>
    <row r="259" spans="1:6" x14ac:dyDescent="0.25">
      <c r="A259" s="4">
        <v>262144</v>
      </c>
      <c r="B259" s="4">
        <v>17</v>
      </c>
      <c r="C259" s="5">
        <v>1.5625E-2</v>
      </c>
      <c r="D259" s="5">
        <v>4.6875E-2</v>
      </c>
      <c r="E259" s="4">
        <v>34</v>
      </c>
      <c r="F259" s="4">
        <v>262144</v>
      </c>
    </row>
    <row r="260" spans="1:6" x14ac:dyDescent="0.25">
      <c r="A260" s="4">
        <v>262144</v>
      </c>
      <c r="B260" s="4">
        <v>18</v>
      </c>
      <c r="C260" s="5">
        <v>1.5625E-2</v>
      </c>
      <c r="D260" s="5">
        <v>3.125E-2</v>
      </c>
      <c r="E260" s="4">
        <v>34</v>
      </c>
      <c r="F260" s="4">
        <v>262144</v>
      </c>
    </row>
    <row r="261" spans="1:6" x14ac:dyDescent="0.25">
      <c r="A261" s="4">
        <v>262144</v>
      </c>
      <c r="B261" s="4">
        <v>19</v>
      </c>
      <c r="C261" s="5">
        <v>3.125E-2</v>
      </c>
      <c r="D261" s="5">
        <v>1.5625E-2</v>
      </c>
      <c r="E261" s="4">
        <v>34</v>
      </c>
      <c r="F261" s="4">
        <v>262144</v>
      </c>
    </row>
    <row r="262" spans="1:6" x14ac:dyDescent="0.25">
      <c r="A262" s="4">
        <v>262144</v>
      </c>
      <c r="B262" s="4">
        <v>20</v>
      </c>
      <c r="C262" s="5">
        <v>3.125E-2</v>
      </c>
      <c r="D262" s="5">
        <v>1.5625E-2</v>
      </c>
      <c r="E262" s="4">
        <v>34</v>
      </c>
      <c r="F262" s="4">
        <v>262144</v>
      </c>
    </row>
    <row r="263" spans="1:6" x14ac:dyDescent="0.25">
      <c r="A263" s="4">
        <v>262144</v>
      </c>
      <c r="B263" s="4">
        <v>21</v>
      </c>
      <c r="C263" s="5">
        <v>3.125E-2</v>
      </c>
      <c r="D263" s="5">
        <v>3.125E-2</v>
      </c>
      <c r="E263" s="4">
        <v>34</v>
      </c>
      <c r="F263" s="4">
        <v>262144</v>
      </c>
    </row>
    <row r="264" spans="1:6" x14ac:dyDescent="0.25">
      <c r="A264" s="4">
        <v>262144</v>
      </c>
      <c r="B264" s="4">
        <v>22</v>
      </c>
      <c r="C264" s="5">
        <v>3.125E-2</v>
      </c>
      <c r="D264" s="5">
        <v>4.6875E-2</v>
      </c>
      <c r="E264" s="4">
        <v>34</v>
      </c>
      <c r="F264" s="4">
        <v>262144</v>
      </c>
    </row>
    <row r="265" spans="1:6" x14ac:dyDescent="0.25">
      <c r="A265" s="4">
        <v>262144</v>
      </c>
      <c r="B265" s="4">
        <v>23</v>
      </c>
      <c r="C265" s="5">
        <v>3.125E-2</v>
      </c>
      <c r="D265" s="5">
        <v>4.6875E-2</v>
      </c>
      <c r="E265" s="4">
        <v>34</v>
      </c>
      <c r="F265" s="4">
        <v>262144</v>
      </c>
    </row>
    <row r="266" spans="1:6" x14ac:dyDescent="0.25">
      <c r="A266" s="4">
        <v>262144</v>
      </c>
      <c r="B266" s="4">
        <v>24</v>
      </c>
      <c r="C266" s="5">
        <v>3.125E-2</v>
      </c>
      <c r="D266" s="5">
        <v>4.6875E-2</v>
      </c>
      <c r="E266" s="4">
        <v>34</v>
      </c>
      <c r="F266" s="4">
        <v>262144</v>
      </c>
    </row>
    <row r="267" spans="1:6" x14ac:dyDescent="0.25">
      <c r="A267" s="4">
        <v>262144</v>
      </c>
      <c r="B267" s="4">
        <v>25</v>
      </c>
      <c r="C267" s="5">
        <v>3.125E-2</v>
      </c>
      <c r="D267" s="5">
        <v>3.125E-2</v>
      </c>
      <c r="E267" s="4">
        <v>34</v>
      </c>
      <c r="F267" s="4">
        <v>262144</v>
      </c>
    </row>
    <row r="268" spans="1:6" x14ac:dyDescent="0.25">
      <c r="A268" s="4">
        <v>262144</v>
      </c>
      <c r="B268" s="4">
        <v>26</v>
      </c>
      <c r="C268" s="5">
        <v>1.5625E-2</v>
      </c>
      <c r="D268" s="5">
        <v>4.6875E-2</v>
      </c>
      <c r="E268" s="4">
        <v>34</v>
      </c>
      <c r="F268" s="4">
        <v>262144</v>
      </c>
    </row>
    <row r="269" spans="1:6" x14ac:dyDescent="0.25">
      <c r="A269" s="4">
        <v>262144</v>
      </c>
      <c r="B269" s="4">
        <v>27</v>
      </c>
      <c r="C269" s="5">
        <v>4.6875E-2</v>
      </c>
      <c r="D269" s="5">
        <v>3.125E-2</v>
      </c>
      <c r="E269" s="4">
        <v>34</v>
      </c>
      <c r="F269" s="4">
        <v>262144</v>
      </c>
    </row>
    <row r="270" spans="1:6" x14ac:dyDescent="0.25">
      <c r="A270" s="4">
        <v>262144</v>
      </c>
      <c r="B270" s="4">
        <v>28</v>
      </c>
      <c r="C270" s="5">
        <v>3.125E-2</v>
      </c>
      <c r="D270" s="5">
        <v>3.125E-2</v>
      </c>
      <c r="E270" s="4">
        <v>34</v>
      </c>
      <c r="F270" s="4">
        <v>262144</v>
      </c>
    </row>
    <row r="271" spans="1:6" x14ac:dyDescent="0.25">
      <c r="A271" s="4">
        <v>262144</v>
      </c>
      <c r="B271" s="4">
        <v>29</v>
      </c>
      <c r="C271" s="5">
        <v>4.6875E-2</v>
      </c>
      <c r="D271" s="5">
        <v>4.6875E-2</v>
      </c>
      <c r="E271" s="4">
        <v>34</v>
      </c>
      <c r="F271" s="4">
        <v>262144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7" width="14" customWidth="1"/>
    <col min="8" max="8" width="3" customWidth="1"/>
    <col min="9" max="25" width="15" customWidth="1"/>
  </cols>
  <sheetData>
    <row r="1" spans="1:25" ht="30" customHeight="1" x14ac:dyDescent="0.25">
      <c r="A1" s="1" t="s">
        <v>0</v>
      </c>
      <c r="B1" s="1" t="s">
        <v>1</v>
      </c>
      <c r="C1" s="1" t="s">
        <v>23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0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</row>
    <row r="2" spans="1:25" x14ac:dyDescent="0.25">
      <c r="A2" s="4">
        <v>1024</v>
      </c>
      <c r="B2" s="4">
        <v>0</v>
      </c>
      <c r="C2" s="4">
        <v>1024</v>
      </c>
      <c r="D2" s="5">
        <v>0</v>
      </c>
      <c r="E2" s="5">
        <v>0</v>
      </c>
      <c r="F2" s="4">
        <v>16</v>
      </c>
      <c r="G2" s="4">
        <v>512</v>
      </c>
      <c r="I2" s="4">
        <f>A2</f>
        <v>1024</v>
      </c>
      <c r="J2" s="6">
        <f>MIN(D2:D31)</f>
        <v>0</v>
      </c>
      <c r="K2" s="6">
        <f>MAX(D2:D31)</f>
        <v>1.5625E-2</v>
      </c>
      <c r="L2" s="6">
        <f>AVERAGE(D2:D31)</f>
        <v>5.2083333333333333E-4</v>
      </c>
      <c r="M2" s="6">
        <f>STDEV(D2:D31)</f>
        <v>2.85272165367274E-3</v>
      </c>
      <c r="N2" s="7">
        <f t="shared" ref="N2:N10" si="0">IF(L2&gt;0,M2/L2,"n/d")</f>
        <v>5.4772255750516612</v>
      </c>
      <c r="O2" s="7"/>
      <c r="P2" s="7"/>
      <c r="Q2" s="6">
        <f>MIN(E2:E31)</f>
        <v>0</v>
      </c>
      <c r="R2" s="6">
        <f>MAX(E2:E31)</f>
        <v>3.125E-2</v>
      </c>
      <c r="S2" s="6">
        <f>AVERAGE(E2:E31)</f>
        <v>1.0416666666666667E-3</v>
      </c>
      <c r="T2" s="6">
        <f>STDEV(E2:E31)</f>
        <v>5.7054433073454799E-3</v>
      </c>
      <c r="U2" s="7">
        <f t="shared" ref="U2:U10" si="1">IF(S2&gt;0,T2/S2,"n/d")</f>
        <v>5.4772255750516612</v>
      </c>
      <c r="V2" s="7"/>
      <c r="W2" s="7"/>
      <c r="X2" s="8">
        <f>AVERAGE(F2:F31)</f>
        <v>16</v>
      </c>
      <c r="Y2" s="8">
        <f>AVERAGE(G2:G31)</f>
        <v>512</v>
      </c>
    </row>
    <row r="3" spans="1:25" x14ac:dyDescent="0.25">
      <c r="A3" s="4">
        <v>1024</v>
      </c>
      <c r="B3" s="4">
        <v>1</v>
      </c>
      <c r="C3" s="4">
        <v>1025</v>
      </c>
      <c r="D3" s="5">
        <v>0</v>
      </c>
      <c r="E3" s="5">
        <v>0</v>
      </c>
      <c r="F3" s="4">
        <v>16</v>
      </c>
      <c r="G3" s="4">
        <v>512</v>
      </c>
      <c r="I3" s="4">
        <f>A32</f>
        <v>2048</v>
      </c>
      <c r="J3" s="6">
        <f>MIN(D32:D61)</f>
        <v>0</v>
      </c>
      <c r="K3" s="6">
        <f>MAX(D32:D61)</f>
        <v>1.5625E-2</v>
      </c>
      <c r="L3" s="6">
        <f>AVERAGE(D32:D61)</f>
        <v>1.5625000000000001E-3</v>
      </c>
      <c r="M3" s="6">
        <f>STDEV(D32:D61)</f>
        <v>4.7676340098338228E-3</v>
      </c>
      <c r="N3" s="7">
        <f t="shared" si="0"/>
        <v>3.0512857662936463</v>
      </c>
      <c r="O3" s="7">
        <f t="shared" ref="O3:O10" si="2">IF(L2&gt;0,L3/L2,"n/d")</f>
        <v>3</v>
      </c>
      <c r="P3" s="7">
        <f t="shared" ref="P3:P10" si="3">IF(ISNUMBER(O3),IF(O3&gt;0,LOG(O3,2),"n/d"),"n/d")</f>
        <v>1.5849625007211563</v>
      </c>
      <c r="Q3" s="6">
        <f>MIN(E32:E61)</f>
        <v>0</v>
      </c>
      <c r="R3" s="6">
        <f>MAX(E32:E61)</f>
        <v>0</v>
      </c>
      <c r="S3" s="6">
        <f>AVERAGE(E32:E61)</f>
        <v>0</v>
      </c>
      <c r="T3" s="6">
        <f>STDEV(E32:E61)</f>
        <v>0</v>
      </c>
      <c r="U3" s="7" t="str">
        <f t="shared" si="1"/>
        <v>n/d</v>
      </c>
      <c r="V3" s="7">
        <f t="shared" ref="V3:V10" si="4">IF(S2&gt;0,S3/S2,"n/d")</f>
        <v>0</v>
      </c>
      <c r="W3" s="7" t="str">
        <f t="shared" ref="W3:W10" si="5">IF(ISNUMBER(V3),IF(V3&gt;0,LOG(V3,2),"n/d"),"n/d")</f>
        <v>n/d</v>
      </c>
      <c r="X3" s="8">
        <f>AVERAGE(F32:F61)</f>
        <v>18</v>
      </c>
      <c r="Y3" s="8">
        <f>AVERAGE(G32:G61)</f>
        <v>1024</v>
      </c>
    </row>
    <row r="4" spans="1:25" x14ac:dyDescent="0.25">
      <c r="A4" s="4">
        <v>1024</v>
      </c>
      <c r="B4" s="4">
        <v>2</v>
      </c>
      <c r="C4" s="4">
        <v>1026</v>
      </c>
      <c r="D4" s="5">
        <v>0</v>
      </c>
      <c r="E4" s="5">
        <v>0</v>
      </c>
      <c r="F4" s="4">
        <v>16</v>
      </c>
      <c r="G4" s="4">
        <v>512</v>
      </c>
      <c r="I4" s="4">
        <f>A62</f>
        <v>4096</v>
      </c>
      <c r="J4" s="6">
        <f>MIN(D62:D91)</f>
        <v>0</v>
      </c>
      <c r="K4" s="6">
        <f>MAX(D62:D91)</f>
        <v>1.5625E-2</v>
      </c>
      <c r="L4" s="6">
        <f>AVERAGE(D62:D91)</f>
        <v>1.0416666666666667E-3</v>
      </c>
      <c r="M4" s="6">
        <f>STDEV(D62:D91)</f>
        <v>3.9641895578509754E-3</v>
      </c>
      <c r="N4" s="7">
        <f t="shared" si="0"/>
        <v>3.8056219755369365</v>
      </c>
      <c r="O4" s="7">
        <f t="shared" si="2"/>
        <v>0.66666666666666663</v>
      </c>
      <c r="P4" s="7">
        <f t="shared" si="3"/>
        <v>-0.5849625007211563</v>
      </c>
      <c r="Q4" s="6">
        <f>MIN(E62:E91)</f>
        <v>0</v>
      </c>
      <c r="R4" s="6">
        <f>MAX(E62:E91)</f>
        <v>1.5625E-2</v>
      </c>
      <c r="S4" s="6">
        <f>AVERAGE(E62:E91)</f>
        <v>2.0833333333333333E-3</v>
      </c>
      <c r="T4" s="6">
        <f>STDEV(E62:E91)</f>
        <v>5.4022797444025061E-3</v>
      </c>
      <c r="U4" s="7">
        <f t="shared" si="1"/>
        <v>2.5930942773132029</v>
      </c>
      <c r="V4" s="7" t="str">
        <f t="shared" si="4"/>
        <v>n/d</v>
      </c>
      <c r="W4" s="7" t="str">
        <f t="shared" si="5"/>
        <v>n/d</v>
      </c>
      <c r="X4" s="8">
        <f>AVERAGE(F62:F91)</f>
        <v>20</v>
      </c>
      <c r="Y4" s="8">
        <f>AVERAGE(G62:G91)</f>
        <v>2048</v>
      </c>
    </row>
    <row r="5" spans="1:25" x14ac:dyDescent="0.25">
      <c r="A5" s="4">
        <v>1024</v>
      </c>
      <c r="B5" s="4">
        <v>3</v>
      </c>
      <c r="C5" s="4">
        <v>1027</v>
      </c>
      <c r="D5" s="5">
        <v>0</v>
      </c>
      <c r="E5" s="5">
        <v>0</v>
      </c>
      <c r="F5" s="4">
        <v>16</v>
      </c>
      <c r="G5" s="4">
        <v>512</v>
      </c>
      <c r="I5" s="4">
        <f>A92</f>
        <v>8192</v>
      </c>
      <c r="J5" s="6">
        <f>MIN(D92:D121)</f>
        <v>0</v>
      </c>
      <c r="K5" s="6">
        <f>MAX(D92:D121)</f>
        <v>1.5625E-2</v>
      </c>
      <c r="L5" s="6">
        <f>AVERAGE(D92:D121)</f>
        <v>2.6041666666666665E-3</v>
      </c>
      <c r="M5" s="6">
        <f>STDEV(D92:D121)</f>
        <v>5.922640965460183E-3</v>
      </c>
      <c r="N5" s="7">
        <f t="shared" si="0"/>
        <v>2.2742941307367106</v>
      </c>
      <c r="O5" s="7">
        <f t="shared" si="2"/>
        <v>2.5</v>
      </c>
      <c r="P5" s="7">
        <f t="shared" si="3"/>
        <v>1.3219280948873624</v>
      </c>
      <c r="Q5" s="6">
        <f>MIN(E92:E121)</f>
        <v>0</v>
      </c>
      <c r="R5" s="6">
        <f>MAX(E92:E121)</f>
        <v>1.5625E-2</v>
      </c>
      <c r="S5" s="6">
        <f>AVERAGE(E92:E121)</f>
        <v>2.0833333333333333E-3</v>
      </c>
      <c r="T5" s="6">
        <f>STDEV(E92:E121)</f>
        <v>5.4022797444025061E-3</v>
      </c>
      <c r="U5" s="7">
        <f t="shared" si="1"/>
        <v>2.5930942773132029</v>
      </c>
      <c r="V5" s="7">
        <f t="shared" si="4"/>
        <v>1</v>
      </c>
      <c r="W5" s="7">
        <f t="shared" si="5"/>
        <v>0</v>
      </c>
      <c r="X5" s="8">
        <f>AVERAGE(F92:F121)</f>
        <v>22</v>
      </c>
      <c r="Y5" s="8">
        <f>AVERAGE(G92:G121)</f>
        <v>4096</v>
      </c>
    </row>
    <row r="6" spans="1:25" x14ac:dyDescent="0.25">
      <c r="A6" s="4">
        <v>1024</v>
      </c>
      <c r="B6" s="4">
        <v>4</v>
      </c>
      <c r="C6" s="4">
        <v>1028</v>
      </c>
      <c r="D6" s="5">
        <v>0</v>
      </c>
      <c r="E6" s="5">
        <v>3.125E-2</v>
      </c>
      <c r="F6" s="4">
        <v>16</v>
      </c>
      <c r="G6" s="4">
        <v>512</v>
      </c>
      <c r="I6" s="4">
        <f>A122</f>
        <v>16384</v>
      </c>
      <c r="J6" s="6">
        <f>MIN(D122:D151)</f>
        <v>0</v>
      </c>
      <c r="K6" s="6">
        <f>MAX(D122:D151)</f>
        <v>1.5625E-2</v>
      </c>
      <c r="L6" s="6">
        <f>AVERAGE(D122:D151)</f>
        <v>5.208333333333333E-3</v>
      </c>
      <c r="M6" s="6">
        <f>STDEV(D122:D151)</f>
        <v>7.491614085709127E-3</v>
      </c>
      <c r="N6" s="7">
        <f t="shared" si="0"/>
        <v>1.4383899044561526</v>
      </c>
      <c r="O6" s="7">
        <f t="shared" si="2"/>
        <v>2</v>
      </c>
      <c r="P6" s="7">
        <f t="shared" si="3"/>
        <v>1</v>
      </c>
      <c r="Q6" s="6">
        <f>MIN(E122:E151)</f>
        <v>0</v>
      </c>
      <c r="R6" s="6">
        <f>MAX(E122:E151)</f>
        <v>1.5625E-2</v>
      </c>
      <c r="S6" s="6">
        <f>AVERAGE(E122:E151)</f>
        <v>5.208333333333333E-3</v>
      </c>
      <c r="T6" s="6">
        <f>STDEV(E122:E151)</f>
        <v>7.491614085709127E-3</v>
      </c>
      <c r="U6" s="7">
        <f t="shared" si="1"/>
        <v>1.4383899044561526</v>
      </c>
      <c r="V6" s="7">
        <f t="shared" si="4"/>
        <v>2.5</v>
      </c>
      <c r="W6" s="7">
        <f t="shared" si="5"/>
        <v>1.3219280948873624</v>
      </c>
      <c r="X6" s="8">
        <f>AVERAGE(F122:F151)</f>
        <v>24</v>
      </c>
      <c r="Y6" s="8">
        <f>AVERAGE(G122:G151)</f>
        <v>8192</v>
      </c>
    </row>
    <row r="7" spans="1:25" x14ac:dyDescent="0.25">
      <c r="A7" s="4">
        <v>1024</v>
      </c>
      <c r="B7" s="4">
        <v>5</v>
      </c>
      <c r="C7" s="4">
        <v>1029</v>
      </c>
      <c r="D7" s="5">
        <v>0</v>
      </c>
      <c r="E7" s="5">
        <v>0</v>
      </c>
      <c r="F7" s="4">
        <v>16</v>
      </c>
      <c r="G7" s="4">
        <v>512</v>
      </c>
      <c r="I7" s="4">
        <f>A152</f>
        <v>32768</v>
      </c>
      <c r="J7" s="6">
        <f>MIN(D152:D181)</f>
        <v>0</v>
      </c>
      <c r="K7" s="6">
        <f>MAX(D152:D181)</f>
        <v>1.5625E-2</v>
      </c>
      <c r="L7" s="6">
        <f>AVERAGE(D152:D181)</f>
        <v>9.3749999999999997E-3</v>
      </c>
      <c r="M7" s="6">
        <f>STDEV(D152:D181)</f>
        <v>7.7855137362881216E-3</v>
      </c>
      <c r="N7" s="7">
        <f t="shared" si="0"/>
        <v>0.83045479853739967</v>
      </c>
      <c r="O7" s="7">
        <f t="shared" si="2"/>
        <v>1.8</v>
      </c>
      <c r="P7" s="7">
        <f t="shared" si="3"/>
        <v>0.84799690655495008</v>
      </c>
      <c r="Q7" s="6">
        <f>MIN(E152:E181)</f>
        <v>0</v>
      </c>
      <c r="R7" s="6">
        <f>MAX(E152:E181)</f>
        <v>1.5625E-2</v>
      </c>
      <c r="S7" s="6">
        <f>AVERAGE(E152:E181)</f>
        <v>8.8541666666666664E-3</v>
      </c>
      <c r="T7" s="6">
        <f>STDEV(E152:E181)</f>
        <v>7.8751083280270452E-3</v>
      </c>
      <c r="U7" s="7">
        <f t="shared" si="1"/>
        <v>0.8894239994007016</v>
      </c>
      <c r="V7" s="7">
        <f t="shared" si="4"/>
        <v>1.7</v>
      </c>
      <c r="W7" s="7">
        <f t="shared" si="5"/>
        <v>0.76553474636297703</v>
      </c>
      <c r="X7" s="8">
        <f>AVERAGE(F152:F181)</f>
        <v>26</v>
      </c>
      <c r="Y7" s="8">
        <f>AVERAGE(G152:G181)</f>
        <v>16384</v>
      </c>
    </row>
    <row r="8" spans="1:25" x14ac:dyDescent="0.25">
      <c r="A8" s="4">
        <v>1024</v>
      </c>
      <c r="B8" s="4">
        <v>6</v>
      </c>
      <c r="C8" s="4">
        <v>1030</v>
      </c>
      <c r="D8" s="5">
        <v>0</v>
      </c>
      <c r="E8" s="5">
        <v>0</v>
      </c>
      <c r="F8" s="4">
        <v>16</v>
      </c>
      <c r="G8" s="4">
        <v>512</v>
      </c>
      <c r="I8" s="4">
        <f>A182</f>
        <v>65536</v>
      </c>
      <c r="J8" s="6">
        <f>MIN(D182:D211)</f>
        <v>1.5625E-2</v>
      </c>
      <c r="K8" s="6">
        <f>MAX(D182:D211)</f>
        <v>3.125E-2</v>
      </c>
      <c r="L8" s="6">
        <f>AVERAGE(D182:D211)</f>
        <v>1.6145833333333335E-2</v>
      </c>
      <c r="M8" s="6">
        <f>STDEV(D182:D211)</f>
        <v>2.85272165367274E-3</v>
      </c>
      <c r="N8" s="7">
        <f t="shared" si="0"/>
        <v>0.17668469596940839</v>
      </c>
      <c r="O8" s="7">
        <f t="shared" si="2"/>
        <v>1.7222222222222225</v>
      </c>
      <c r="P8" s="7">
        <f t="shared" si="3"/>
        <v>0.78427130894456321</v>
      </c>
      <c r="Q8" s="6">
        <f>MIN(E182:E211)</f>
        <v>1.5625E-2</v>
      </c>
      <c r="R8" s="6">
        <f>MAX(E182:E211)</f>
        <v>3.125E-2</v>
      </c>
      <c r="S8" s="6">
        <f>AVERAGE(E182:E211)</f>
        <v>1.8229166666666668E-2</v>
      </c>
      <c r="T8" s="6">
        <f>STDEV(E182:E211)</f>
        <v>5.9226409654601813E-3</v>
      </c>
      <c r="U8" s="7">
        <f t="shared" si="1"/>
        <v>0.32489916153381565</v>
      </c>
      <c r="V8" s="7">
        <f t="shared" si="4"/>
        <v>2.0588235294117649</v>
      </c>
      <c r="W8" s="7">
        <f t="shared" si="5"/>
        <v>1.0418201756946273</v>
      </c>
      <c r="X8" s="8">
        <f>AVERAGE(F182:F211)</f>
        <v>28</v>
      </c>
      <c r="Y8" s="8">
        <f>AVERAGE(G182:G211)</f>
        <v>32768</v>
      </c>
    </row>
    <row r="9" spans="1:25" x14ac:dyDescent="0.25">
      <c r="A9" s="4">
        <v>1024</v>
      </c>
      <c r="B9" s="4">
        <v>7</v>
      </c>
      <c r="C9" s="4">
        <v>1031</v>
      </c>
      <c r="D9" s="5">
        <v>0</v>
      </c>
      <c r="E9" s="5">
        <v>0</v>
      </c>
      <c r="F9" s="4">
        <v>16</v>
      </c>
      <c r="G9" s="4">
        <v>512</v>
      </c>
      <c r="I9" s="4">
        <f>A212</f>
        <v>131072</v>
      </c>
      <c r="J9" s="6">
        <f>MIN(D212:D241)</f>
        <v>3.125E-2</v>
      </c>
      <c r="K9" s="6">
        <f>MAX(D212:D241)</f>
        <v>6.25E-2</v>
      </c>
      <c r="L9" s="6">
        <f>AVERAGE(D212:D241)</f>
        <v>4.0625000000000001E-2</v>
      </c>
      <c r="M9" s="6">
        <f>STDEV(D212:D241)</f>
        <v>8.8006538746100895E-3</v>
      </c>
      <c r="N9" s="7">
        <f t="shared" si="0"/>
        <v>0.21663147999040219</v>
      </c>
      <c r="O9" s="7">
        <f t="shared" si="2"/>
        <v>2.5161290322580645</v>
      </c>
      <c r="P9" s="7">
        <f t="shared" si="3"/>
        <v>1.3312059084753733</v>
      </c>
      <c r="Q9" s="6">
        <f>MIN(E212:E241)</f>
        <v>1.5625E-2</v>
      </c>
      <c r="R9" s="6">
        <f>MAX(E212:E241)</f>
        <v>6.25E-2</v>
      </c>
      <c r="S9" s="6">
        <f>AVERAGE(E212:E241)</f>
        <v>3.802083333333333E-2</v>
      </c>
      <c r="T9" s="6">
        <f>STDEV(E212:E241)</f>
        <v>9.7822236809264503E-3</v>
      </c>
      <c r="U9" s="7">
        <f t="shared" si="1"/>
        <v>0.2572858831147779</v>
      </c>
      <c r="V9" s="7">
        <f t="shared" si="4"/>
        <v>2.0857142857142854</v>
      </c>
      <c r="W9" s="7">
        <f t="shared" si="5"/>
        <v>1.0605415419350506</v>
      </c>
      <c r="X9" s="8">
        <f>AVERAGE(F212:F241)</f>
        <v>30</v>
      </c>
      <c r="Y9" s="8">
        <f>AVERAGE(G212:G241)</f>
        <v>65536</v>
      </c>
    </row>
    <row r="10" spans="1:25" x14ac:dyDescent="0.25">
      <c r="A10" s="4">
        <v>1024</v>
      </c>
      <c r="B10" s="4">
        <v>8</v>
      </c>
      <c r="C10" s="4">
        <v>1032</v>
      </c>
      <c r="D10" s="5">
        <v>0</v>
      </c>
      <c r="E10" s="5">
        <v>0</v>
      </c>
      <c r="F10" s="4">
        <v>16</v>
      </c>
      <c r="G10" s="4">
        <v>512</v>
      </c>
      <c r="I10" s="4">
        <f>A242</f>
        <v>262144</v>
      </c>
      <c r="J10" s="6">
        <f>MIN(D242:D271)</f>
        <v>6.25E-2</v>
      </c>
      <c r="K10" s="6">
        <f>MAX(D242:D271)</f>
        <v>0.109375</v>
      </c>
      <c r="L10" s="6">
        <f>AVERAGE(D242:D271)</f>
        <v>8.8541666666666671E-2</v>
      </c>
      <c r="M10" s="6">
        <f>STDEV(D242:D271)</f>
        <v>1.5534941613007109E-2</v>
      </c>
      <c r="N10" s="7">
        <f t="shared" si="0"/>
        <v>0.17545345821749203</v>
      </c>
      <c r="O10" s="7">
        <f t="shared" si="2"/>
        <v>2.1794871794871797</v>
      </c>
      <c r="P10" s="7">
        <f t="shared" si="3"/>
        <v>1.1239887172754537</v>
      </c>
      <c r="Q10" s="6">
        <f>MIN(E242:E271)</f>
        <v>6.25E-2</v>
      </c>
      <c r="R10" s="6">
        <f>MAX(E242:E271)</f>
        <v>0.125</v>
      </c>
      <c r="S10" s="6">
        <f>AVERAGE(E242:E271)</f>
        <v>8.6458333333333331E-2</v>
      </c>
      <c r="T10" s="6">
        <f>STDEV(E242:E271)</f>
        <v>1.5206315800675893E-2</v>
      </c>
      <c r="U10" s="7">
        <f t="shared" si="1"/>
        <v>0.17588027914034768</v>
      </c>
      <c r="V10" s="7">
        <f t="shared" si="4"/>
        <v>2.2739726027397262</v>
      </c>
      <c r="W10" s="7">
        <f t="shared" si="5"/>
        <v>1.1852148724669076</v>
      </c>
      <c r="X10" s="8">
        <f>AVERAGE(F242:F271)</f>
        <v>32</v>
      </c>
      <c r="Y10" s="8">
        <f>AVERAGE(G242:G271)</f>
        <v>131072</v>
      </c>
    </row>
    <row r="11" spans="1:25" x14ac:dyDescent="0.25">
      <c r="A11" s="4">
        <v>1024</v>
      </c>
      <c r="B11" s="4">
        <v>9</v>
      </c>
      <c r="C11" s="4">
        <v>1033</v>
      </c>
      <c r="D11" s="5">
        <v>0</v>
      </c>
      <c r="E11" s="5">
        <v>0</v>
      </c>
      <c r="F11" s="4">
        <v>16</v>
      </c>
      <c r="G11" s="4">
        <v>512</v>
      </c>
    </row>
    <row r="12" spans="1:25" x14ac:dyDescent="0.25">
      <c r="A12" s="4">
        <v>1024</v>
      </c>
      <c r="B12" s="4">
        <v>10</v>
      </c>
      <c r="C12" s="4">
        <v>1034</v>
      </c>
      <c r="D12" s="5">
        <v>0</v>
      </c>
      <c r="E12" s="5">
        <v>0</v>
      </c>
      <c r="F12" s="4">
        <v>16</v>
      </c>
      <c r="G12" s="4">
        <v>512</v>
      </c>
      <c r="I12" s="9" t="s">
        <v>22</v>
      </c>
    </row>
    <row r="13" spans="1:25" x14ac:dyDescent="0.25">
      <c r="A13" s="4">
        <v>1024</v>
      </c>
      <c r="B13" s="4">
        <v>11</v>
      </c>
      <c r="C13" s="4">
        <v>1035</v>
      </c>
      <c r="D13" s="5">
        <v>0</v>
      </c>
      <c r="E13" s="5">
        <v>0</v>
      </c>
      <c r="F13" s="4">
        <v>16</v>
      </c>
      <c r="G13" s="4">
        <v>512</v>
      </c>
    </row>
    <row r="14" spans="1:25" x14ac:dyDescent="0.25">
      <c r="A14" s="4">
        <v>1024</v>
      </c>
      <c r="B14" s="4">
        <v>12</v>
      </c>
      <c r="C14" s="4">
        <v>1036</v>
      </c>
      <c r="D14" s="5">
        <v>0</v>
      </c>
      <c r="E14" s="5">
        <v>0</v>
      </c>
      <c r="F14" s="4">
        <v>16</v>
      </c>
      <c r="G14" s="4">
        <v>512</v>
      </c>
    </row>
    <row r="15" spans="1:25" x14ac:dyDescent="0.25">
      <c r="A15" s="4">
        <v>1024</v>
      </c>
      <c r="B15" s="4">
        <v>13</v>
      </c>
      <c r="C15" s="4">
        <v>1037</v>
      </c>
      <c r="D15" s="5">
        <v>0</v>
      </c>
      <c r="E15" s="5">
        <v>0</v>
      </c>
      <c r="F15" s="4">
        <v>16</v>
      </c>
      <c r="G15" s="4">
        <v>512</v>
      </c>
    </row>
    <row r="16" spans="1:25" x14ac:dyDescent="0.25">
      <c r="A16" s="4">
        <v>1024</v>
      </c>
      <c r="B16" s="4">
        <v>14</v>
      </c>
      <c r="C16" s="4">
        <v>1038</v>
      </c>
      <c r="D16" s="5">
        <v>0</v>
      </c>
      <c r="E16" s="5">
        <v>0</v>
      </c>
      <c r="F16" s="4">
        <v>16</v>
      </c>
      <c r="G16" s="4">
        <v>512</v>
      </c>
    </row>
    <row r="17" spans="1:7" x14ac:dyDescent="0.25">
      <c r="A17" s="4">
        <v>1024</v>
      </c>
      <c r="B17" s="4">
        <v>15</v>
      </c>
      <c r="C17" s="4">
        <v>1039</v>
      </c>
      <c r="D17" s="5">
        <v>1.5625E-2</v>
      </c>
      <c r="E17" s="5">
        <v>0</v>
      </c>
      <c r="F17" s="4">
        <v>16</v>
      </c>
      <c r="G17" s="4">
        <v>512</v>
      </c>
    </row>
    <row r="18" spans="1:7" x14ac:dyDescent="0.25">
      <c r="A18" s="4">
        <v>1024</v>
      </c>
      <c r="B18" s="4">
        <v>16</v>
      </c>
      <c r="C18" s="4">
        <v>1040</v>
      </c>
      <c r="D18" s="5">
        <v>0</v>
      </c>
      <c r="E18" s="5">
        <v>0</v>
      </c>
      <c r="F18" s="4">
        <v>16</v>
      </c>
      <c r="G18" s="4">
        <v>512</v>
      </c>
    </row>
    <row r="19" spans="1:7" x14ac:dyDescent="0.25">
      <c r="A19" s="4">
        <v>1024</v>
      </c>
      <c r="B19" s="4">
        <v>17</v>
      </c>
      <c r="C19" s="4">
        <v>1041</v>
      </c>
      <c r="D19" s="5">
        <v>0</v>
      </c>
      <c r="E19" s="5">
        <v>0</v>
      </c>
      <c r="F19" s="4">
        <v>16</v>
      </c>
      <c r="G19" s="4">
        <v>512</v>
      </c>
    </row>
    <row r="20" spans="1:7" x14ac:dyDescent="0.25">
      <c r="A20" s="4">
        <v>1024</v>
      </c>
      <c r="B20" s="4">
        <v>18</v>
      </c>
      <c r="C20" s="4">
        <v>1042</v>
      </c>
      <c r="D20" s="5">
        <v>0</v>
      </c>
      <c r="E20" s="5">
        <v>0</v>
      </c>
      <c r="F20" s="4">
        <v>16</v>
      </c>
      <c r="G20" s="4">
        <v>512</v>
      </c>
    </row>
    <row r="21" spans="1:7" x14ac:dyDescent="0.25">
      <c r="A21" s="4">
        <v>1024</v>
      </c>
      <c r="B21" s="4">
        <v>19</v>
      </c>
      <c r="C21" s="4">
        <v>1043</v>
      </c>
      <c r="D21" s="5">
        <v>0</v>
      </c>
      <c r="E21" s="5">
        <v>0</v>
      </c>
      <c r="F21" s="4">
        <v>16</v>
      </c>
      <c r="G21" s="4">
        <v>512</v>
      </c>
    </row>
    <row r="22" spans="1:7" x14ac:dyDescent="0.25">
      <c r="A22" s="4">
        <v>1024</v>
      </c>
      <c r="B22" s="4">
        <v>20</v>
      </c>
      <c r="C22" s="4">
        <v>1044</v>
      </c>
      <c r="D22" s="5">
        <v>0</v>
      </c>
      <c r="E22" s="5">
        <v>0</v>
      </c>
      <c r="F22" s="4">
        <v>16</v>
      </c>
      <c r="G22" s="4">
        <v>512</v>
      </c>
    </row>
    <row r="23" spans="1:7" x14ac:dyDescent="0.25">
      <c r="A23" s="4">
        <v>1024</v>
      </c>
      <c r="B23" s="4">
        <v>21</v>
      </c>
      <c r="C23" s="4">
        <v>1045</v>
      </c>
      <c r="D23" s="5">
        <v>0</v>
      </c>
      <c r="E23" s="5">
        <v>0</v>
      </c>
      <c r="F23" s="4">
        <v>16</v>
      </c>
      <c r="G23" s="4">
        <v>512</v>
      </c>
    </row>
    <row r="24" spans="1:7" x14ac:dyDescent="0.25">
      <c r="A24" s="4">
        <v>1024</v>
      </c>
      <c r="B24" s="4">
        <v>22</v>
      </c>
      <c r="C24" s="4">
        <v>1046</v>
      </c>
      <c r="D24" s="5">
        <v>0</v>
      </c>
      <c r="E24" s="5">
        <v>0</v>
      </c>
      <c r="F24" s="4">
        <v>16</v>
      </c>
      <c r="G24" s="4">
        <v>512</v>
      </c>
    </row>
    <row r="25" spans="1:7" x14ac:dyDescent="0.25">
      <c r="A25" s="4">
        <v>1024</v>
      </c>
      <c r="B25" s="4">
        <v>23</v>
      </c>
      <c r="C25" s="4">
        <v>1047</v>
      </c>
      <c r="D25" s="5">
        <v>0</v>
      </c>
      <c r="E25" s="5">
        <v>0</v>
      </c>
      <c r="F25" s="4">
        <v>16</v>
      </c>
      <c r="G25" s="4">
        <v>512</v>
      </c>
    </row>
    <row r="26" spans="1:7" x14ac:dyDescent="0.25">
      <c r="A26" s="4">
        <v>1024</v>
      </c>
      <c r="B26" s="4">
        <v>24</v>
      </c>
      <c r="C26" s="4">
        <v>1048</v>
      </c>
      <c r="D26" s="5">
        <v>0</v>
      </c>
      <c r="E26" s="5">
        <v>0</v>
      </c>
      <c r="F26" s="4">
        <v>16</v>
      </c>
      <c r="G26" s="4">
        <v>512</v>
      </c>
    </row>
    <row r="27" spans="1:7" x14ac:dyDescent="0.25">
      <c r="A27" s="4">
        <v>1024</v>
      </c>
      <c r="B27" s="4">
        <v>25</v>
      </c>
      <c r="C27" s="4">
        <v>1049</v>
      </c>
      <c r="D27" s="5">
        <v>0</v>
      </c>
      <c r="E27" s="5">
        <v>0</v>
      </c>
      <c r="F27" s="4">
        <v>16</v>
      </c>
      <c r="G27" s="4">
        <v>512</v>
      </c>
    </row>
    <row r="28" spans="1:7" x14ac:dyDescent="0.25">
      <c r="A28" s="4">
        <v>1024</v>
      </c>
      <c r="B28" s="4">
        <v>26</v>
      </c>
      <c r="C28" s="4">
        <v>1050</v>
      </c>
      <c r="D28" s="5">
        <v>0</v>
      </c>
      <c r="E28" s="5">
        <v>0</v>
      </c>
      <c r="F28" s="4">
        <v>16</v>
      </c>
      <c r="G28" s="4">
        <v>512</v>
      </c>
    </row>
    <row r="29" spans="1:7" x14ac:dyDescent="0.25">
      <c r="A29" s="4">
        <v>1024</v>
      </c>
      <c r="B29" s="4">
        <v>27</v>
      </c>
      <c r="C29" s="4">
        <v>1051</v>
      </c>
      <c r="D29" s="5">
        <v>0</v>
      </c>
      <c r="E29" s="5">
        <v>0</v>
      </c>
      <c r="F29" s="4">
        <v>16</v>
      </c>
      <c r="G29" s="4">
        <v>512</v>
      </c>
    </row>
    <row r="30" spans="1:7" x14ac:dyDescent="0.25">
      <c r="A30" s="4">
        <v>1024</v>
      </c>
      <c r="B30" s="4">
        <v>28</v>
      </c>
      <c r="C30" s="4">
        <v>1052</v>
      </c>
      <c r="D30" s="5">
        <v>0</v>
      </c>
      <c r="E30" s="5">
        <v>0</v>
      </c>
      <c r="F30" s="4">
        <v>16</v>
      </c>
      <c r="G30" s="4">
        <v>512</v>
      </c>
    </row>
    <row r="31" spans="1:7" x14ac:dyDescent="0.25">
      <c r="A31" s="4">
        <v>1024</v>
      </c>
      <c r="B31" s="4">
        <v>29</v>
      </c>
      <c r="C31" s="4">
        <v>1053</v>
      </c>
      <c r="D31" s="5">
        <v>0</v>
      </c>
      <c r="E31" s="5">
        <v>0</v>
      </c>
      <c r="F31" s="4">
        <v>16</v>
      </c>
      <c r="G31" s="4">
        <v>512</v>
      </c>
    </row>
    <row r="32" spans="1:7" x14ac:dyDescent="0.25">
      <c r="A32" s="4">
        <v>2048</v>
      </c>
      <c r="B32" s="4">
        <v>0</v>
      </c>
      <c r="C32" s="4">
        <v>2048</v>
      </c>
      <c r="D32" s="5">
        <v>0</v>
      </c>
      <c r="E32" s="5">
        <v>0</v>
      </c>
      <c r="F32" s="4">
        <v>18</v>
      </c>
      <c r="G32" s="4">
        <v>1024</v>
      </c>
    </row>
    <row r="33" spans="1:7" x14ac:dyDescent="0.25">
      <c r="A33" s="4">
        <v>2048</v>
      </c>
      <c r="B33" s="4">
        <v>1</v>
      </c>
      <c r="C33" s="4">
        <v>2049</v>
      </c>
      <c r="D33" s="5">
        <v>0</v>
      </c>
      <c r="E33" s="5">
        <v>0</v>
      </c>
      <c r="F33" s="4">
        <v>18</v>
      </c>
      <c r="G33" s="4">
        <v>1024</v>
      </c>
    </row>
    <row r="34" spans="1:7" x14ac:dyDescent="0.25">
      <c r="A34" s="4">
        <v>2048</v>
      </c>
      <c r="B34" s="4">
        <v>2</v>
      </c>
      <c r="C34" s="4">
        <v>2050</v>
      </c>
      <c r="D34" s="5">
        <v>0</v>
      </c>
      <c r="E34" s="5">
        <v>0</v>
      </c>
      <c r="F34" s="4">
        <v>18</v>
      </c>
      <c r="G34" s="4">
        <v>1024</v>
      </c>
    </row>
    <row r="35" spans="1:7" x14ac:dyDescent="0.25">
      <c r="A35" s="4">
        <v>2048</v>
      </c>
      <c r="B35" s="4">
        <v>3</v>
      </c>
      <c r="C35" s="4">
        <v>2051</v>
      </c>
      <c r="D35" s="5">
        <v>0</v>
      </c>
      <c r="E35" s="5">
        <v>0</v>
      </c>
      <c r="F35" s="4">
        <v>18</v>
      </c>
      <c r="G35" s="4">
        <v>1024</v>
      </c>
    </row>
    <row r="36" spans="1:7" x14ac:dyDescent="0.25">
      <c r="A36" s="4">
        <v>2048</v>
      </c>
      <c r="B36" s="4">
        <v>4</v>
      </c>
      <c r="C36" s="4">
        <v>2052</v>
      </c>
      <c r="D36" s="5">
        <v>0</v>
      </c>
      <c r="E36" s="5">
        <v>0</v>
      </c>
      <c r="F36" s="4">
        <v>18</v>
      </c>
      <c r="G36" s="4">
        <v>1024</v>
      </c>
    </row>
    <row r="37" spans="1:7" x14ac:dyDescent="0.25">
      <c r="A37" s="4">
        <v>2048</v>
      </c>
      <c r="B37" s="4">
        <v>5</v>
      </c>
      <c r="C37" s="4">
        <v>2053</v>
      </c>
      <c r="D37" s="5">
        <v>0</v>
      </c>
      <c r="E37" s="5">
        <v>0</v>
      </c>
      <c r="F37" s="4">
        <v>18</v>
      </c>
      <c r="G37" s="4">
        <v>1024</v>
      </c>
    </row>
    <row r="38" spans="1:7" x14ac:dyDescent="0.25">
      <c r="A38" s="4">
        <v>2048</v>
      </c>
      <c r="B38" s="4">
        <v>6</v>
      </c>
      <c r="C38" s="4">
        <v>2054</v>
      </c>
      <c r="D38" s="5">
        <v>0</v>
      </c>
      <c r="E38" s="5">
        <v>0</v>
      </c>
      <c r="F38" s="4">
        <v>18</v>
      </c>
      <c r="G38" s="4">
        <v>1024</v>
      </c>
    </row>
    <row r="39" spans="1:7" x14ac:dyDescent="0.25">
      <c r="A39" s="4">
        <v>2048</v>
      </c>
      <c r="B39" s="4">
        <v>7</v>
      </c>
      <c r="C39" s="4">
        <v>2055</v>
      </c>
      <c r="D39" s="5">
        <v>1.5625E-2</v>
      </c>
      <c r="E39" s="5">
        <v>0</v>
      </c>
      <c r="F39" s="4">
        <v>18</v>
      </c>
      <c r="G39" s="4">
        <v>1024</v>
      </c>
    </row>
    <row r="40" spans="1:7" x14ac:dyDescent="0.25">
      <c r="A40" s="4">
        <v>2048</v>
      </c>
      <c r="B40" s="4">
        <v>8</v>
      </c>
      <c r="C40" s="4">
        <v>2056</v>
      </c>
      <c r="D40" s="5">
        <v>0</v>
      </c>
      <c r="E40" s="5">
        <v>0</v>
      </c>
      <c r="F40" s="4">
        <v>18</v>
      </c>
      <c r="G40" s="4">
        <v>1024</v>
      </c>
    </row>
    <row r="41" spans="1:7" x14ac:dyDescent="0.25">
      <c r="A41" s="4">
        <v>2048</v>
      </c>
      <c r="B41" s="4">
        <v>9</v>
      </c>
      <c r="C41" s="4">
        <v>2057</v>
      </c>
      <c r="D41" s="5">
        <v>0</v>
      </c>
      <c r="E41" s="5">
        <v>0</v>
      </c>
      <c r="F41" s="4">
        <v>18</v>
      </c>
      <c r="G41" s="4">
        <v>1024</v>
      </c>
    </row>
    <row r="42" spans="1:7" x14ac:dyDescent="0.25">
      <c r="A42" s="4">
        <v>2048</v>
      </c>
      <c r="B42" s="4">
        <v>10</v>
      </c>
      <c r="C42" s="4">
        <v>2058</v>
      </c>
      <c r="D42" s="5">
        <v>0</v>
      </c>
      <c r="E42" s="5">
        <v>0</v>
      </c>
      <c r="F42" s="4">
        <v>18</v>
      </c>
      <c r="G42" s="4">
        <v>1024</v>
      </c>
    </row>
    <row r="43" spans="1:7" x14ac:dyDescent="0.25">
      <c r="A43" s="4">
        <v>2048</v>
      </c>
      <c r="B43" s="4">
        <v>11</v>
      </c>
      <c r="C43" s="4">
        <v>2059</v>
      </c>
      <c r="D43" s="5">
        <v>0</v>
      </c>
      <c r="E43" s="5">
        <v>0</v>
      </c>
      <c r="F43" s="4">
        <v>18</v>
      </c>
      <c r="G43" s="4">
        <v>1024</v>
      </c>
    </row>
    <row r="44" spans="1:7" x14ac:dyDescent="0.25">
      <c r="A44" s="4">
        <v>2048</v>
      </c>
      <c r="B44" s="4">
        <v>12</v>
      </c>
      <c r="C44" s="4">
        <v>2060</v>
      </c>
      <c r="D44" s="5">
        <v>0</v>
      </c>
      <c r="E44" s="5">
        <v>0</v>
      </c>
      <c r="F44" s="4">
        <v>18</v>
      </c>
      <c r="G44" s="4">
        <v>1024</v>
      </c>
    </row>
    <row r="45" spans="1:7" x14ac:dyDescent="0.25">
      <c r="A45" s="4">
        <v>2048</v>
      </c>
      <c r="B45" s="4">
        <v>13</v>
      </c>
      <c r="C45" s="4">
        <v>2061</v>
      </c>
      <c r="D45" s="5">
        <v>0</v>
      </c>
      <c r="E45" s="5">
        <v>0</v>
      </c>
      <c r="F45" s="4">
        <v>18</v>
      </c>
      <c r="G45" s="4">
        <v>1024</v>
      </c>
    </row>
    <row r="46" spans="1:7" x14ac:dyDescent="0.25">
      <c r="A46" s="4">
        <v>2048</v>
      </c>
      <c r="B46" s="4">
        <v>14</v>
      </c>
      <c r="C46" s="4">
        <v>2062</v>
      </c>
      <c r="D46" s="5">
        <v>1.5625E-2</v>
      </c>
      <c r="E46" s="5">
        <v>0</v>
      </c>
      <c r="F46" s="4">
        <v>18</v>
      </c>
      <c r="G46" s="4">
        <v>1024</v>
      </c>
    </row>
    <row r="47" spans="1:7" x14ac:dyDescent="0.25">
      <c r="A47" s="4">
        <v>2048</v>
      </c>
      <c r="B47" s="4">
        <v>15</v>
      </c>
      <c r="C47" s="4">
        <v>2063</v>
      </c>
      <c r="D47" s="5">
        <v>0</v>
      </c>
      <c r="E47" s="5">
        <v>0</v>
      </c>
      <c r="F47" s="4">
        <v>18</v>
      </c>
      <c r="G47" s="4">
        <v>1024</v>
      </c>
    </row>
    <row r="48" spans="1:7" x14ac:dyDescent="0.25">
      <c r="A48" s="4">
        <v>2048</v>
      </c>
      <c r="B48" s="4">
        <v>16</v>
      </c>
      <c r="C48" s="4">
        <v>2064</v>
      </c>
      <c r="D48" s="5">
        <v>0</v>
      </c>
      <c r="E48" s="5">
        <v>0</v>
      </c>
      <c r="F48" s="4">
        <v>18</v>
      </c>
      <c r="G48" s="4">
        <v>1024</v>
      </c>
    </row>
    <row r="49" spans="1:7" x14ac:dyDescent="0.25">
      <c r="A49" s="4">
        <v>2048</v>
      </c>
      <c r="B49" s="4">
        <v>17</v>
      </c>
      <c r="C49" s="4">
        <v>2065</v>
      </c>
      <c r="D49" s="5">
        <v>0</v>
      </c>
      <c r="E49" s="5">
        <v>0</v>
      </c>
      <c r="F49" s="4">
        <v>18</v>
      </c>
      <c r="G49" s="4">
        <v>1024</v>
      </c>
    </row>
    <row r="50" spans="1:7" x14ac:dyDescent="0.25">
      <c r="A50" s="4">
        <v>2048</v>
      </c>
      <c r="B50" s="4">
        <v>18</v>
      </c>
      <c r="C50" s="4">
        <v>2066</v>
      </c>
      <c r="D50" s="5">
        <v>0</v>
      </c>
      <c r="E50" s="5">
        <v>0</v>
      </c>
      <c r="F50" s="4">
        <v>18</v>
      </c>
      <c r="G50" s="4">
        <v>1024</v>
      </c>
    </row>
    <row r="51" spans="1:7" x14ac:dyDescent="0.25">
      <c r="A51" s="4">
        <v>2048</v>
      </c>
      <c r="B51" s="4">
        <v>19</v>
      </c>
      <c r="C51" s="4">
        <v>2067</v>
      </c>
      <c r="D51" s="5">
        <v>0</v>
      </c>
      <c r="E51" s="5">
        <v>0</v>
      </c>
      <c r="F51" s="4">
        <v>18</v>
      </c>
      <c r="G51" s="4">
        <v>1024</v>
      </c>
    </row>
    <row r="52" spans="1:7" x14ac:dyDescent="0.25">
      <c r="A52" s="4">
        <v>2048</v>
      </c>
      <c r="B52" s="4">
        <v>20</v>
      </c>
      <c r="C52" s="4">
        <v>2068</v>
      </c>
      <c r="D52" s="5">
        <v>0</v>
      </c>
      <c r="E52" s="5">
        <v>0</v>
      </c>
      <c r="F52" s="4">
        <v>18</v>
      </c>
      <c r="G52" s="4">
        <v>1024</v>
      </c>
    </row>
    <row r="53" spans="1:7" x14ac:dyDescent="0.25">
      <c r="A53" s="4">
        <v>2048</v>
      </c>
      <c r="B53" s="4">
        <v>21</v>
      </c>
      <c r="C53" s="4">
        <v>2069</v>
      </c>
      <c r="D53" s="5">
        <v>0</v>
      </c>
      <c r="E53" s="5">
        <v>0</v>
      </c>
      <c r="F53" s="4">
        <v>18</v>
      </c>
      <c r="G53" s="4">
        <v>1024</v>
      </c>
    </row>
    <row r="54" spans="1:7" x14ac:dyDescent="0.25">
      <c r="A54" s="4">
        <v>2048</v>
      </c>
      <c r="B54" s="4">
        <v>22</v>
      </c>
      <c r="C54" s="4">
        <v>2070</v>
      </c>
      <c r="D54" s="5">
        <v>0</v>
      </c>
      <c r="E54" s="5">
        <v>0</v>
      </c>
      <c r="F54" s="4">
        <v>18</v>
      </c>
      <c r="G54" s="4">
        <v>1024</v>
      </c>
    </row>
    <row r="55" spans="1:7" x14ac:dyDescent="0.25">
      <c r="A55" s="4">
        <v>2048</v>
      </c>
      <c r="B55" s="4">
        <v>23</v>
      </c>
      <c r="C55" s="4">
        <v>2071</v>
      </c>
      <c r="D55" s="5">
        <v>0</v>
      </c>
      <c r="E55" s="5">
        <v>0</v>
      </c>
      <c r="F55" s="4">
        <v>18</v>
      </c>
      <c r="G55" s="4">
        <v>1024</v>
      </c>
    </row>
    <row r="56" spans="1:7" x14ac:dyDescent="0.25">
      <c r="A56" s="4">
        <v>2048</v>
      </c>
      <c r="B56" s="4">
        <v>24</v>
      </c>
      <c r="C56" s="4">
        <v>2072</v>
      </c>
      <c r="D56" s="5">
        <v>0</v>
      </c>
      <c r="E56" s="5">
        <v>0</v>
      </c>
      <c r="F56" s="4">
        <v>18</v>
      </c>
      <c r="G56" s="4">
        <v>1024</v>
      </c>
    </row>
    <row r="57" spans="1:7" x14ac:dyDescent="0.25">
      <c r="A57" s="4">
        <v>2048</v>
      </c>
      <c r="B57" s="4">
        <v>25</v>
      </c>
      <c r="C57" s="4">
        <v>2073</v>
      </c>
      <c r="D57" s="5">
        <v>0</v>
      </c>
      <c r="E57" s="5">
        <v>0</v>
      </c>
      <c r="F57" s="4">
        <v>18</v>
      </c>
      <c r="G57" s="4">
        <v>1024</v>
      </c>
    </row>
    <row r="58" spans="1:7" x14ac:dyDescent="0.25">
      <c r="A58" s="4">
        <v>2048</v>
      </c>
      <c r="B58" s="4">
        <v>26</v>
      </c>
      <c r="C58" s="4">
        <v>2074</v>
      </c>
      <c r="D58" s="5">
        <v>0</v>
      </c>
      <c r="E58" s="5">
        <v>0</v>
      </c>
      <c r="F58" s="4">
        <v>18</v>
      </c>
      <c r="G58" s="4">
        <v>1024</v>
      </c>
    </row>
    <row r="59" spans="1:7" x14ac:dyDescent="0.25">
      <c r="A59" s="4">
        <v>2048</v>
      </c>
      <c r="B59" s="4">
        <v>27</v>
      </c>
      <c r="C59" s="4">
        <v>2075</v>
      </c>
      <c r="D59" s="5">
        <v>0</v>
      </c>
      <c r="E59" s="5">
        <v>0</v>
      </c>
      <c r="F59" s="4">
        <v>18</v>
      </c>
      <c r="G59" s="4">
        <v>1024</v>
      </c>
    </row>
    <row r="60" spans="1:7" x14ac:dyDescent="0.25">
      <c r="A60" s="4">
        <v>2048</v>
      </c>
      <c r="B60" s="4">
        <v>28</v>
      </c>
      <c r="C60" s="4">
        <v>2076</v>
      </c>
      <c r="D60" s="5">
        <v>1.5625E-2</v>
      </c>
      <c r="E60" s="5">
        <v>0</v>
      </c>
      <c r="F60" s="4">
        <v>18</v>
      </c>
      <c r="G60" s="4">
        <v>1024</v>
      </c>
    </row>
    <row r="61" spans="1:7" x14ac:dyDescent="0.25">
      <c r="A61" s="4">
        <v>2048</v>
      </c>
      <c r="B61" s="4">
        <v>29</v>
      </c>
      <c r="C61" s="4">
        <v>2077</v>
      </c>
      <c r="D61" s="5">
        <v>0</v>
      </c>
      <c r="E61" s="5">
        <v>0</v>
      </c>
      <c r="F61" s="4">
        <v>18</v>
      </c>
      <c r="G61" s="4">
        <v>1024</v>
      </c>
    </row>
    <row r="62" spans="1:7" x14ac:dyDescent="0.25">
      <c r="A62" s="4">
        <v>4096</v>
      </c>
      <c r="B62" s="4">
        <v>0</v>
      </c>
      <c r="C62" s="4">
        <v>4096</v>
      </c>
      <c r="D62" s="5">
        <v>0</v>
      </c>
      <c r="E62" s="5">
        <v>0</v>
      </c>
      <c r="F62" s="4">
        <v>20</v>
      </c>
      <c r="G62" s="4">
        <v>2048</v>
      </c>
    </row>
    <row r="63" spans="1:7" x14ac:dyDescent="0.25">
      <c r="A63" s="4">
        <v>4096</v>
      </c>
      <c r="B63" s="4">
        <v>1</v>
      </c>
      <c r="C63" s="4">
        <v>4097</v>
      </c>
      <c r="D63" s="5">
        <v>0</v>
      </c>
      <c r="E63" s="5">
        <v>0</v>
      </c>
      <c r="F63" s="4">
        <v>20</v>
      </c>
      <c r="G63" s="4">
        <v>2048</v>
      </c>
    </row>
    <row r="64" spans="1:7" x14ac:dyDescent="0.25">
      <c r="A64" s="4">
        <v>4096</v>
      </c>
      <c r="B64" s="4">
        <v>2</v>
      </c>
      <c r="C64" s="4">
        <v>4098</v>
      </c>
      <c r="D64" s="5">
        <v>1.5625E-2</v>
      </c>
      <c r="E64" s="5">
        <v>0</v>
      </c>
      <c r="F64" s="4">
        <v>20</v>
      </c>
      <c r="G64" s="4">
        <v>2048</v>
      </c>
    </row>
    <row r="65" spans="1:7" x14ac:dyDescent="0.25">
      <c r="A65" s="4">
        <v>4096</v>
      </c>
      <c r="B65" s="4">
        <v>3</v>
      </c>
      <c r="C65" s="4">
        <v>4099</v>
      </c>
      <c r="D65" s="5">
        <v>0</v>
      </c>
      <c r="E65" s="5">
        <v>0</v>
      </c>
      <c r="F65" s="4">
        <v>20</v>
      </c>
      <c r="G65" s="4">
        <v>2048</v>
      </c>
    </row>
    <row r="66" spans="1:7" x14ac:dyDescent="0.25">
      <c r="A66" s="4">
        <v>4096</v>
      </c>
      <c r="B66" s="4">
        <v>4</v>
      </c>
      <c r="C66" s="4">
        <v>4100</v>
      </c>
      <c r="D66" s="5">
        <v>0</v>
      </c>
      <c r="E66" s="5">
        <v>1.5625E-2</v>
      </c>
      <c r="F66" s="4">
        <v>20</v>
      </c>
      <c r="G66" s="4">
        <v>2048</v>
      </c>
    </row>
    <row r="67" spans="1:7" x14ac:dyDescent="0.25">
      <c r="A67" s="4">
        <v>4096</v>
      </c>
      <c r="B67" s="4">
        <v>5</v>
      </c>
      <c r="C67" s="4">
        <v>4101</v>
      </c>
      <c r="D67" s="5">
        <v>0</v>
      </c>
      <c r="E67" s="5">
        <v>0</v>
      </c>
      <c r="F67" s="4">
        <v>20</v>
      </c>
      <c r="G67" s="4">
        <v>2048</v>
      </c>
    </row>
    <row r="68" spans="1:7" x14ac:dyDescent="0.25">
      <c r="A68" s="4">
        <v>4096</v>
      </c>
      <c r="B68" s="4">
        <v>6</v>
      </c>
      <c r="C68" s="4">
        <v>4102</v>
      </c>
      <c r="D68" s="5">
        <v>0</v>
      </c>
      <c r="E68" s="5">
        <v>0</v>
      </c>
      <c r="F68" s="4">
        <v>20</v>
      </c>
      <c r="G68" s="4">
        <v>2048</v>
      </c>
    </row>
    <row r="69" spans="1:7" x14ac:dyDescent="0.25">
      <c r="A69" s="4">
        <v>4096</v>
      </c>
      <c r="B69" s="4">
        <v>7</v>
      </c>
      <c r="C69" s="4">
        <v>4103</v>
      </c>
      <c r="D69" s="5">
        <v>0</v>
      </c>
      <c r="E69" s="5">
        <v>0</v>
      </c>
      <c r="F69" s="4">
        <v>20</v>
      </c>
      <c r="G69" s="4">
        <v>2048</v>
      </c>
    </row>
    <row r="70" spans="1:7" x14ac:dyDescent="0.25">
      <c r="A70" s="4">
        <v>4096</v>
      </c>
      <c r="B70" s="4">
        <v>8</v>
      </c>
      <c r="C70" s="4">
        <v>4104</v>
      </c>
      <c r="D70" s="5">
        <v>0</v>
      </c>
      <c r="E70" s="5">
        <v>0</v>
      </c>
      <c r="F70" s="4">
        <v>20</v>
      </c>
      <c r="G70" s="4">
        <v>2048</v>
      </c>
    </row>
    <row r="71" spans="1:7" x14ac:dyDescent="0.25">
      <c r="A71" s="4">
        <v>4096</v>
      </c>
      <c r="B71" s="4">
        <v>9</v>
      </c>
      <c r="C71" s="4">
        <v>4105</v>
      </c>
      <c r="D71" s="5">
        <v>0</v>
      </c>
      <c r="E71" s="5">
        <v>0</v>
      </c>
      <c r="F71" s="4">
        <v>20</v>
      </c>
      <c r="G71" s="4">
        <v>2048</v>
      </c>
    </row>
    <row r="72" spans="1:7" x14ac:dyDescent="0.25">
      <c r="A72" s="4">
        <v>4096</v>
      </c>
      <c r="B72" s="4">
        <v>10</v>
      </c>
      <c r="C72" s="4">
        <v>4106</v>
      </c>
      <c r="D72" s="5">
        <v>0</v>
      </c>
      <c r="E72" s="5">
        <v>0</v>
      </c>
      <c r="F72" s="4">
        <v>20</v>
      </c>
      <c r="G72" s="4">
        <v>2048</v>
      </c>
    </row>
    <row r="73" spans="1:7" x14ac:dyDescent="0.25">
      <c r="A73" s="4">
        <v>4096</v>
      </c>
      <c r="B73" s="4">
        <v>11</v>
      </c>
      <c r="C73" s="4">
        <v>4107</v>
      </c>
      <c r="D73" s="5">
        <v>1.5625E-2</v>
      </c>
      <c r="E73" s="5">
        <v>0</v>
      </c>
      <c r="F73" s="4">
        <v>20</v>
      </c>
      <c r="G73" s="4">
        <v>2048</v>
      </c>
    </row>
    <row r="74" spans="1:7" x14ac:dyDescent="0.25">
      <c r="A74" s="4">
        <v>4096</v>
      </c>
      <c r="B74" s="4">
        <v>12</v>
      </c>
      <c r="C74" s="4">
        <v>4108</v>
      </c>
      <c r="D74" s="5">
        <v>0</v>
      </c>
      <c r="E74" s="5">
        <v>0</v>
      </c>
      <c r="F74" s="4">
        <v>20</v>
      </c>
      <c r="G74" s="4">
        <v>2048</v>
      </c>
    </row>
    <row r="75" spans="1:7" x14ac:dyDescent="0.25">
      <c r="A75" s="4">
        <v>4096</v>
      </c>
      <c r="B75" s="4">
        <v>13</v>
      </c>
      <c r="C75" s="4">
        <v>4109</v>
      </c>
      <c r="D75" s="5">
        <v>0</v>
      </c>
      <c r="E75" s="5">
        <v>0</v>
      </c>
      <c r="F75" s="4">
        <v>20</v>
      </c>
      <c r="G75" s="4">
        <v>2048</v>
      </c>
    </row>
    <row r="76" spans="1:7" x14ac:dyDescent="0.25">
      <c r="A76" s="4">
        <v>4096</v>
      </c>
      <c r="B76" s="4">
        <v>14</v>
      </c>
      <c r="C76" s="4">
        <v>4110</v>
      </c>
      <c r="D76" s="5">
        <v>0</v>
      </c>
      <c r="E76" s="5">
        <v>0</v>
      </c>
      <c r="F76" s="4">
        <v>20</v>
      </c>
      <c r="G76" s="4">
        <v>2048</v>
      </c>
    </row>
    <row r="77" spans="1:7" x14ac:dyDescent="0.25">
      <c r="A77" s="4">
        <v>4096</v>
      </c>
      <c r="B77" s="4">
        <v>15</v>
      </c>
      <c r="C77" s="4">
        <v>4111</v>
      </c>
      <c r="D77" s="5">
        <v>0</v>
      </c>
      <c r="E77" s="5">
        <v>0</v>
      </c>
      <c r="F77" s="4">
        <v>20</v>
      </c>
      <c r="G77" s="4">
        <v>2048</v>
      </c>
    </row>
    <row r="78" spans="1:7" x14ac:dyDescent="0.25">
      <c r="A78" s="4">
        <v>4096</v>
      </c>
      <c r="B78" s="4">
        <v>16</v>
      </c>
      <c r="C78" s="4">
        <v>4112</v>
      </c>
      <c r="D78" s="5">
        <v>0</v>
      </c>
      <c r="E78" s="5">
        <v>0</v>
      </c>
      <c r="F78" s="4">
        <v>20</v>
      </c>
      <c r="G78" s="4">
        <v>2048</v>
      </c>
    </row>
    <row r="79" spans="1:7" x14ac:dyDescent="0.25">
      <c r="A79" s="4">
        <v>4096</v>
      </c>
      <c r="B79" s="4">
        <v>17</v>
      </c>
      <c r="C79" s="4">
        <v>4113</v>
      </c>
      <c r="D79" s="5">
        <v>0</v>
      </c>
      <c r="E79" s="5">
        <v>0</v>
      </c>
      <c r="F79" s="4">
        <v>20</v>
      </c>
      <c r="G79" s="4">
        <v>2048</v>
      </c>
    </row>
    <row r="80" spans="1:7" x14ac:dyDescent="0.25">
      <c r="A80" s="4">
        <v>4096</v>
      </c>
      <c r="B80" s="4">
        <v>18</v>
      </c>
      <c r="C80" s="4">
        <v>4114</v>
      </c>
      <c r="D80" s="5">
        <v>0</v>
      </c>
      <c r="E80" s="5">
        <v>1.5625E-2</v>
      </c>
      <c r="F80" s="4">
        <v>20</v>
      </c>
      <c r="G80" s="4">
        <v>2048</v>
      </c>
    </row>
    <row r="81" spans="1:7" x14ac:dyDescent="0.25">
      <c r="A81" s="4">
        <v>4096</v>
      </c>
      <c r="B81" s="4">
        <v>19</v>
      </c>
      <c r="C81" s="4">
        <v>4115</v>
      </c>
      <c r="D81" s="5">
        <v>0</v>
      </c>
      <c r="E81" s="5">
        <v>0</v>
      </c>
      <c r="F81" s="4">
        <v>20</v>
      </c>
      <c r="G81" s="4">
        <v>2048</v>
      </c>
    </row>
    <row r="82" spans="1:7" x14ac:dyDescent="0.25">
      <c r="A82" s="4">
        <v>4096</v>
      </c>
      <c r="B82" s="4">
        <v>20</v>
      </c>
      <c r="C82" s="4">
        <v>4116</v>
      </c>
      <c r="D82" s="5">
        <v>0</v>
      </c>
      <c r="E82" s="5">
        <v>0</v>
      </c>
      <c r="F82" s="4">
        <v>20</v>
      </c>
      <c r="G82" s="4">
        <v>2048</v>
      </c>
    </row>
    <row r="83" spans="1:7" x14ac:dyDescent="0.25">
      <c r="A83" s="4">
        <v>4096</v>
      </c>
      <c r="B83" s="4">
        <v>21</v>
      </c>
      <c r="C83" s="4">
        <v>4117</v>
      </c>
      <c r="D83" s="5">
        <v>0</v>
      </c>
      <c r="E83" s="5">
        <v>0</v>
      </c>
      <c r="F83" s="4">
        <v>20</v>
      </c>
      <c r="G83" s="4">
        <v>2048</v>
      </c>
    </row>
    <row r="84" spans="1:7" x14ac:dyDescent="0.25">
      <c r="A84" s="4">
        <v>4096</v>
      </c>
      <c r="B84" s="4">
        <v>22</v>
      </c>
      <c r="C84" s="4">
        <v>4118</v>
      </c>
      <c r="D84" s="5">
        <v>0</v>
      </c>
      <c r="E84" s="5">
        <v>0</v>
      </c>
      <c r="F84" s="4">
        <v>20</v>
      </c>
      <c r="G84" s="4">
        <v>2048</v>
      </c>
    </row>
    <row r="85" spans="1:7" x14ac:dyDescent="0.25">
      <c r="A85" s="4">
        <v>4096</v>
      </c>
      <c r="B85" s="4">
        <v>23</v>
      </c>
      <c r="C85" s="4">
        <v>4119</v>
      </c>
      <c r="D85" s="5">
        <v>0</v>
      </c>
      <c r="E85" s="5">
        <v>0</v>
      </c>
      <c r="F85" s="4">
        <v>20</v>
      </c>
      <c r="G85" s="4">
        <v>2048</v>
      </c>
    </row>
    <row r="86" spans="1:7" x14ac:dyDescent="0.25">
      <c r="A86" s="4">
        <v>4096</v>
      </c>
      <c r="B86" s="4">
        <v>24</v>
      </c>
      <c r="C86" s="4">
        <v>4120</v>
      </c>
      <c r="D86" s="5">
        <v>0</v>
      </c>
      <c r="E86" s="5">
        <v>1.5625E-2</v>
      </c>
      <c r="F86" s="4">
        <v>20</v>
      </c>
      <c r="G86" s="4">
        <v>2048</v>
      </c>
    </row>
    <row r="87" spans="1:7" x14ac:dyDescent="0.25">
      <c r="A87" s="4">
        <v>4096</v>
      </c>
      <c r="B87" s="4">
        <v>25</v>
      </c>
      <c r="C87" s="4">
        <v>4121</v>
      </c>
      <c r="D87" s="5">
        <v>0</v>
      </c>
      <c r="E87" s="5">
        <v>0</v>
      </c>
      <c r="F87" s="4">
        <v>20</v>
      </c>
      <c r="G87" s="4">
        <v>2048</v>
      </c>
    </row>
    <row r="88" spans="1:7" x14ac:dyDescent="0.25">
      <c r="A88" s="4">
        <v>4096</v>
      </c>
      <c r="B88" s="4">
        <v>26</v>
      </c>
      <c r="C88" s="4">
        <v>4122</v>
      </c>
      <c r="D88" s="5">
        <v>0</v>
      </c>
      <c r="E88" s="5">
        <v>1.5625E-2</v>
      </c>
      <c r="F88" s="4">
        <v>20</v>
      </c>
      <c r="G88" s="4">
        <v>2048</v>
      </c>
    </row>
    <row r="89" spans="1:7" x14ac:dyDescent="0.25">
      <c r="A89" s="4">
        <v>4096</v>
      </c>
      <c r="B89" s="4">
        <v>27</v>
      </c>
      <c r="C89" s="4">
        <v>4123</v>
      </c>
      <c r="D89" s="5">
        <v>0</v>
      </c>
      <c r="E89" s="5">
        <v>0</v>
      </c>
      <c r="F89" s="4">
        <v>20</v>
      </c>
      <c r="G89" s="4">
        <v>2048</v>
      </c>
    </row>
    <row r="90" spans="1:7" x14ac:dyDescent="0.25">
      <c r="A90" s="4">
        <v>4096</v>
      </c>
      <c r="B90" s="4">
        <v>28</v>
      </c>
      <c r="C90" s="4">
        <v>4124</v>
      </c>
      <c r="D90" s="5">
        <v>0</v>
      </c>
      <c r="E90" s="5">
        <v>0</v>
      </c>
      <c r="F90" s="4">
        <v>20</v>
      </c>
      <c r="G90" s="4">
        <v>2048</v>
      </c>
    </row>
    <row r="91" spans="1:7" x14ac:dyDescent="0.25">
      <c r="A91" s="4">
        <v>4096</v>
      </c>
      <c r="B91" s="4">
        <v>29</v>
      </c>
      <c r="C91" s="4">
        <v>4125</v>
      </c>
      <c r="D91" s="5">
        <v>0</v>
      </c>
      <c r="E91" s="5">
        <v>0</v>
      </c>
      <c r="F91" s="4">
        <v>20</v>
      </c>
      <c r="G91" s="4">
        <v>2048</v>
      </c>
    </row>
    <row r="92" spans="1:7" x14ac:dyDescent="0.25">
      <c r="A92" s="4">
        <v>8192</v>
      </c>
      <c r="B92" s="4">
        <v>0</v>
      </c>
      <c r="C92" s="4">
        <v>8192</v>
      </c>
      <c r="D92" s="5">
        <v>0</v>
      </c>
      <c r="E92" s="5">
        <v>0</v>
      </c>
      <c r="F92" s="4">
        <v>22</v>
      </c>
      <c r="G92" s="4">
        <v>4096</v>
      </c>
    </row>
    <row r="93" spans="1:7" x14ac:dyDescent="0.25">
      <c r="A93" s="4">
        <v>8192</v>
      </c>
      <c r="B93" s="4">
        <v>1</v>
      </c>
      <c r="C93" s="4">
        <v>8193</v>
      </c>
      <c r="D93" s="5">
        <v>0</v>
      </c>
      <c r="E93" s="5">
        <v>0</v>
      </c>
      <c r="F93" s="4">
        <v>22</v>
      </c>
      <c r="G93" s="4">
        <v>4096</v>
      </c>
    </row>
    <row r="94" spans="1:7" x14ac:dyDescent="0.25">
      <c r="A94" s="4">
        <v>8192</v>
      </c>
      <c r="B94" s="4">
        <v>2</v>
      </c>
      <c r="C94" s="4">
        <v>8194</v>
      </c>
      <c r="D94" s="5">
        <v>1.5625E-2</v>
      </c>
      <c r="E94" s="5">
        <v>0</v>
      </c>
      <c r="F94" s="4">
        <v>22</v>
      </c>
      <c r="G94" s="4">
        <v>4096</v>
      </c>
    </row>
    <row r="95" spans="1:7" x14ac:dyDescent="0.25">
      <c r="A95" s="4">
        <v>8192</v>
      </c>
      <c r="B95" s="4">
        <v>3</v>
      </c>
      <c r="C95" s="4">
        <v>8195</v>
      </c>
      <c r="D95" s="5">
        <v>1.5625E-2</v>
      </c>
      <c r="E95" s="5">
        <v>0</v>
      </c>
      <c r="F95" s="4">
        <v>22</v>
      </c>
      <c r="G95" s="4">
        <v>4096</v>
      </c>
    </row>
    <row r="96" spans="1:7" x14ac:dyDescent="0.25">
      <c r="A96" s="4">
        <v>8192</v>
      </c>
      <c r="B96" s="4">
        <v>4</v>
      </c>
      <c r="C96" s="4">
        <v>8196</v>
      </c>
      <c r="D96" s="5">
        <v>0</v>
      </c>
      <c r="E96" s="5">
        <v>0</v>
      </c>
      <c r="F96" s="4">
        <v>22</v>
      </c>
      <c r="G96" s="4">
        <v>4096</v>
      </c>
    </row>
    <row r="97" spans="1:7" x14ac:dyDescent="0.25">
      <c r="A97" s="4">
        <v>8192</v>
      </c>
      <c r="B97" s="4">
        <v>5</v>
      </c>
      <c r="C97" s="4">
        <v>8197</v>
      </c>
      <c r="D97" s="5">
        <v>0</v>
      </c>
      <c r="E97" s="5">
        <v>1.5625E-2</v>
      </c>
      <c r="F97" s="4">
        <v>22</v>
      </c>
      <c r="G97" s="4">
        <v>4096</v>
      </c>
    </row>
    <row r="98" spans="1:7" x14ac:dyDescent="0.25">
      <c r="A98" s="4">
        <v>8192</v>
      </c>
      <c r="B98" s="4">
        <v>6</v>
      </c>
      <c r="C98" s="4">
        <v>8198</v>
      </c>
      <c r="D98" s="5">
        <v>0</v>
      </c>
      <c r="E98" s="5">
        <v>0</v>
      </c>
      <c r="F98" s="4">
        <v>22</v>
      </c>
      <c r="G98" s="4">
        <v>4096</v>
      </c>
    </row>
    <row r="99" spans="1:7" x14ac:dyDescent="0.25">
      <c r="A99" s="4">
        <v>8192</v>
      </c>
      <c r="B99" s="4">
        <v>7</v>
      </c>
      <c r="C99" s="4">
        <v>8199</v>
      </c>
      <c r="D99" s="5">
        <v>1.5625E-2</v>
      </c>
      <c r="E99" s="5">
        <v>0</v>
      </c>
      <c r="F99" s="4">
        <v>22</v>
      </c>
      <c r="G99" s="4">
        <v>4096</v>
      </c>
    </row>
    <row r="100" spans="1:7" x14ac:dyDescent="0.25">
      <c r="A100" s="4">
        <v>8192</v>
      </c>
      <c r="B100" s="4">
        <v>8</v>
      </c>
      <c r="C100" s="4">
        <v>8200</v>
      </c>
      <c r="D100" s="5">
        <v>0</v>
      </c>
      <c r="E100" s="5">
        <v>0</v>
      </c>
      <c r="F100" s="4">
        <v>22</v>
      </c>
      <c r="G100" s="4">
        <v>4096</v>
      </c>
    </row>
    <row r="101" spans="1:7" x14ac:dyDescent="0.25">
      <c r="A101" s="4">
        <v>8192</v>
      </c>
      <c r="B101" s="4">
        <v>9</v>
      </c>
      <c r="C101" s="4">
        <v>8201</v>
      </c>
      <c r="D101" s="5">
        <v>0</v>
      </c>
      <c r="E101" s="5">
        <v>0</v>
      </c>
      <c r="F101" s="4">
        <v>22</v>
      </c>
      <c r="G101" s="4">
        <v>4096</v>
      </c>
    </row>
    <row r="102" spans="1:7" x14ac:dyDescent="0.25">
      <c r="A102" s="4">
        <v>8192</v>
      </c>
      <c r="B102" s="4">
        <v>10</v>
      </c>
      <c r="C102" s="4">
        <v>8202</v>
      </c>
      <c r="D102" s="5">
        <v>0</v>
      </c>
      <c r="E102" s="5">
        <v>0</v>
      </c>
      <c r="F102" s="4">
        <v>22</v>
      </c>
      <c r="G102" s="4">
        <v>4096</v>
      </c>
    </row>
    <row r="103" spans="1:7" x14ac:dyDescent="0.25">
      <c r="A103" s="4">
        <v>8192</v>
      </c>
      <c r="B103" s="4">
        <v>11</v>
      </c>
      <c r="C103" s="4">
        <v>8203</v>
      </c>
      <c r="D103" s="5">
        <v>0</v>
      </c>
      <c r="E103" s="5">
        <v>0</v>
      </c>
      <c r="F103" s="4">
        <v>22</v>
      </c>
      <c r="G103" s="4">
        <v>4096</v>
      </c>
    </row>
    <row r="104" spans="1:7" x14ac:dyDescent="0.25">
      <c r="A104" s="4">
        <v>8192</v>
      </c>
      <c r="B104" s="4">
        <v>12</v>
      </c>
      <c r="C104" s="4">
        <v>8204</v>
      </c>
      <c r="D104" s="5">
        <v>0</v>
      </c>
      <c r="E104" s="5">
        <v>0</v>
      </c>
      <c r="F104" s="4">
        <v>22</v>
      </c>
      <c r="G104" s="4">
        <v>4096</v>
      </c>
    </row>
    <row r="105" spans="1:7" x14ac:dyDescent="0.25">
      <c r="A105" s="4">
        <v>8192</v>
      </c>
      <c r="B105" s="4">
        <v>13</v>
      </c>
      <c r="C105" s="4">
        <v>8205</v>
      </c>
      <c r="D105" s="5">
        <v>1.5625E-2</v>
      </c>
      <c r="E105" s="5">
        <v>0</v>
      </c>
      <c r="F105" s="4">
        <v>22</v>
      </c>
      <c r="G105" s="4">
        <v>4096</v>
      </c>
    </row>
    <row r="106" spans="1:7" x14ac:dyDescent="0.25">
      <c r="A106" s="4">
        <v>8192</v>
      </c>
      <c r="B106" s="4">
        <v>14</v>
      </c>
      <c r="C106" s="4">
        <v>8206</v>
      </c>
      <c r="D106" s="5">
        <v>0</v>
      </c>
      <c r="E106" s="5">
        <v>0</v>
      </c>
      <c r="F106" s="4">
        <v>22</v>
      </c>
      <c r="G106" s="4">
        <v>4096</v>
      </c>
    </row>
    <row r="107" spans="1:7" x14ac:dyDescent="0.25">
      <c r="A107" s="4">
        <v>8192</v>
      </c>
      <c r="B107" s="4">
        <v>15</v>
      </c>
      <c r="C107" s="4">
        <v>8207</v>
      </c>
      <c r="D107" s="5">
        <v>0</v>
      </c>
      <c r="E107" s="5">
        <v>0</v>
      </c>
      <c r="F107" s="4">
        <v>22</v>
      </c>
      <c r="G107" s="4">
        <v>4096</v>
      </c>
    </row>
    <row r="108" spans="1:7" x14ac:dyDescent="0.25">
      <c r="A108" s="4">
        <v>8192</v>
      </c>
      <c r="B108" s="4">
        <v>16</v>
      </c>
      <c r="C108" s="4">
        <v>8208</v>
      </c>
      <c r="D108" s="5">
        <v>0</v>
      </c>
      <c r="E108" s="5">
        <v>1.5625E-2</v>
      </c>
      <c r="F108" s="4">
        <v>22</v>
      </c>
      <c r="G108" s="4">
        <v>4096</v>
      </c>
    </row>
    <row r="109" spans="1:7" x14ac:dyDescent="0.25">
      <c r="A109" s="4">
        <v>8192</v>
      </c>
      <c r="B109" s="4">
        <v>17</v>
      </c>
      <c r="C109" s="4">
        <v>8209</v>
      </c>
      <c r="D109" s="5">
        <v>0</v>
      </c>
      <c r="E109" s="5">
        <v>0</v>
      </c>
      <c r="F109" s="4">
        <v>22</v>
      </c>
      <c r="G109" s="4">
        <v>4096</v>
      </c>
    </row>
    <row r="110" spans="1:7" x14ac:dyDescent="0.25">
      <c r="A110" s="4">
        <v>8192</v>
      </c>
      <c r="B110" s="4">
        <v>18</v>
      </c>
      <c r="C110" s="4">
        <v>8210</v>
      </c>
      <c r="D110" s="5">
        <v>0</v>
      </c>
      <c r="E110" s="5">
        <v>0</v>
      </c>
      <c r="F110" s="4">
        <v>22</v>
      </c>
      <c r="G110" s="4">
        <v>4096</v>
      </c>
    </row>
    <row r="111" spans="1:7" x14ac:dyDescent="0.25">
      <c r="A111" s="4">
        <v>8192</v>
      </c>
      <c r="B111" s="4">
        <v>19</v>
      </c>
      <c r="C111" s="4">
        <v>8211</v>
      </c>
      <c r="D111" s="5">
        <v>0</v>
      </c>
      <c r="E111" s="5">
        <v>0</v>
      </c>
      <c r="F111" s="4">
        <v>22</v>
      </c>
      <c r="G111" s="4">
        <v>4096</v>
      </c>
    </row>
    <row r="112" spans="1:7" x14ac:dyDescent="0.25">
      <c r="A112" s="4">
        <v>8192</v>
      </c>
      <c r="B112" s="4">
        <v>20</v>
      </c>
      <c r="C112" s="4">
        <v>8212</v>
      </c>
      <c r="D112" s="5">
        <v>0</v>
      </c>
      <c r="E112" s="5">
        <v>0</v>
      </c>
      <c r="F112" s="4">
        <v>22</v>
      </c>
      <c r="G112" s="4">
        <v>4096</v>
      </c>
    </row>
    <row r="113" spans="1:7" x14ac:dyDescent="0.25">
      <c r="A113" s="4">
        <v>8192</v>
      </c>
      <c r="B113" s="4">
        <v>21</v>
      </c>
      <c r="C113" s="4">
        <v>8213</v>
      </c>
      <c r="D113" s="5">
        <v>0</v>
      </c>
      <c r="E113" s="5">
        <v>1.5625E-2</v>
      </c>
      <c r="F113" s="4">
        <v>22</v>
      </c>
      <c r="G113" s="4">
        <v>4096</v>
      </c>
    </row>
    <row r="114" spans="1:7" x14ac:dyDescent="0.25">
      <c r="A114" s="4">
        <v>8192</v>
      </c>
      <c r="B114" s="4">
        <v>22</v>
      </c>
      <c r="C114" s="4">
        <v>8214</v>
      </c>
      <c r="D114" s="5">
        <v>0</v>
      </c>
      <c r="E114" s="5">
        <v>0</v>
      </c>
      <c r="F114" s="4">
        <v>22</v>
      </c>
      <c r="G114" s="4">
        <v>4096</v>
      </c>
    </row>
    <row r="115" spans="1:7" x14ac:dyDescent="0.25">
      <c r="A115" s="4">
        <v>8192</v>
      </c>
      <c r="B115" s="4">
        <v>23</v>
      </c>
      <c r="C115" s="4">
        <v>8215</v>
      </c>
      <c r="D115" s="5">
        <v>0</v>
      </c>
      <c r="E115" s="5">
        <v>1.5625E-2</v>
      </c>
      <c r="F115" s="4">
        <v>22</v>
      </c>
      <c r="G115" s="4">
        <v>4096</v>
      </c>
    </row>
    <row r="116" spans="1:7" x14ac:dyDescent="0.25">
      <c r="A116" s="4">
        <v>8192</v>
      </c>
      <c r="B116" s="4">
        <v>24</v>
      </c>
      <c r="C116" s="4">
        <v>8216</v>
      </c>
      <c r="D116" s="5">
        <v>0</v>
      </c>
      <c r="E116" s="5">
        <v>0</v>
      </c>
      <c r="F116" s="4">
        <v>22</v>
      </c>
      <c r="G116" s="4">
        <v>4096</v>
      </c>
    </row>
    <row r="117" spans="1:7" x14ac:dyDescent="0.25">
      <c r="A117" s="4">
        <v>8192</v>
      </c>
      <c r="B117" s="4">
        <v>25</v>
      </c>
      <c r="C117" s="4">
        <v>8217</v>
      </c>
      <c r="D117" s="5">
        <v>0</v>
      </c>
      <c r="E117" s="5">
        <v>0</v>
      </c>
      <c r="F117" s="4">
        <v>22</v>
      </c>
      <c r="G117" s="4">
        <v>4096</v>
      </c>
    </row>
    <row r="118" spans="1:7" x14ac:dyDescent="0.25">
      <c r="A118" s="4">
        <v>8192</v>
      </c>
      <c r="B118" s="4">
        <v>26</v>
      </c>
      <c r="C118" s="4">
        <v>8218</v>
      </c>
      <c r="D118" s="5">
        <v>0</v>
      </c>
      <c r="E118" s="5">
        <v>0</v>
      </c>
      <c r="F118" s="4">
        <v>22</v>
      </c>
      <c r="G118" s="4">
        <v>4096</v>
      </c>
    </row>
    <row r="119" spans="1:7" x14ac:dyDescent="0.25">
      <c r="A119" s="4">
        <v>8192</v>
      </c>
      <c r="B119" s="4">
        <v>27</v>
      </c>
      <c r="C119" s="4">
        <v>8219</v>
      </c>
      <c r="D119" s="5">
        <v>1.5625E-2</v>
      </c>
      <c r="E119" s="5">
        <v>0</v>
      </c>
      <c r="F119" s="4">
        <v>22</v>
      </c>
      <c r="G119" s="4">
        <v>4096</v>
      </c>
    </row>
    <row r="120" spans="1:7" x14ac:dyDescent="0.25">
      <c r="A120" s="4">
        <v>8192</v>
      </c>
      <c r="B120" s="4">
        <v>28</v>
      </c>
      <c r="C120" s="4">
        <v>8220</v>
      </c>
      <c r="D120" s="5">
        <v>0</v>
      </c>
      <c r="E120" s="5">
        <v>0</v>
      </c>
      <c r="F120" s="4">
        <v>22</v>
      </c>
      <c r="G120" s="4">
        <v>4096</v>
      </c>
    </row>
    <row r="121" spans="1:7" x14ac:dyDescent="0.25">
      <c r="A121" s="4">
        <v>8192</v>
      </c>
      <c r="B121" s="4">
        <v>29</v>
      </c>
      <c r="C121" s="4">
        <v>8221</v>
      </c>
      <c r="D121" s="5">
        <v>0</v>
      </c>
      <c r="E121" s="5">
        <v>0</v>
      </c>
      <c r="F121" s="4">
        <v>22</v>
      </c>
      <c r="G121" s="4">
        <v>4096</v>
      </c>
    </row>
    <row r="122" spans="1:7" x14ac:dyDescent="0.25">
      <c r="A122" s="4">
        <v>16384</v>
      </c>
      <c r="B122" s="4">
        <v>0</v>
      </c>
      <c r="C122" s="4">
        <v>16384</v>
      </c>
      <c r="D122" s="5">
        <v>1.5625E-2</v>
      </c>
      <c r="E122" s="5">
        <v>0</v>
      </c>
      <c r="F122" s="4">
        <v>24</v>
      </c>
      <c r="G122" s="4">
        <v>8192</v>
      </c>
    </row>
    <row r="123" spans="1:7" x14ac:dyDescent="0.25">
      <c r="A123" s="4">
        <v>16384</v>
      </c>
      <c r="B123" s="4">
        <v>1</v>
      </c>
      <c r="C123" s="4">
        <v>16385</v>
      </c>
      <c r="D123" s="5">
        <v>0</v>
      </c>
      <c r="E123" s="5">
        <v>1.5625E-2</v>
      </c>
      <c r="F123" s="4">
        <v>24</v>
      </c>
      <c r="G123" s="4">
        <v>8192</v>
      </c>
    </row>
    <row r="124" spans="1:7" x14ac:dyDescent="0.25">
      <c r="A124" s="4">
        <v>16384</v>
      </c>
      <c r="B124" s="4">
        <v>2</v>
      </c>
      <c r="C124" s="4">
        <v>16386</v>
      </c>
      <c r="D124" s="5">
        <v>1.5625E-2</v>
      </c>
      <c r="E124" s="5">
        <v>0</v>
      </c>
      <c r="F124" s="4">
        <v>24</v>
      </c>
      <c r="G124" s="4">
        <v>8192</v>
      </c>
    </row>
    <row r="125" spans="1:7" x14ac:dyDescent="0.25">
      <c r="A125" s="4">
        <v>16384</v>
      </c>
      <c r="B125" s="4">
        <v>3</v>
      </c>
      <c r="C125" s="4">
        <v>16387</v>
      </c>
      <c r="D125" s="5">
        <v>0</v>
      </c>
      <c r="E125" s="5">
        <v>1.5625E-2</v>
      </c>
      <c r="F125" s="4">
        <v>24</v>
      </c>
      <c r="G125" s="4">
        <v>8192</v>
      </c>
    </row>
    <row r="126" spans="1:7" x14ac:dyDescent="0.25">
      <c r="A126" s="4">
        <v>16384</v>
      </c>
      <c r="B126" s="4">
        <v>4</v>
      </c>
      <c r="C126" s="4">
        <v>16388</v>
      </c>
      <c r="D126" s="5">
        <v>0</v>
      </c>
      <c r="E126" s="5">
        <v>1.5625E-2</v>
      </c>
      <c r="F126" s="4">
        <v>24</v>
      </c>
      <c r="G126" s="4">
        <v>8192</v>
      </c>
    </row>
    <row r="127" spans="1:7" x14ac:dyDescent="0.25">
      <c r="A127" s="4">
        <v>16384</v>
      </c>
      <c r="B127" s="4">
        <v>5</v>
      </c>
      <c r="C127" s="4">
        <v>16389</v>
      </c>
      <c r="D127" s="5">
        <v>1.5625E-2</v>
      </c>
      <c r="E127" s="5">
        <v>0</v>
      </c>
      <c r="F127" s="4">
        <v>24</v>
      </c>
      <c r="G127" s="4">
        <v>8192</v>
      </c>
    </row>
    <row r="128" spans="1:7" x14ac:dyDescent="0.25">
      <c r="A128" s="4">
        <v>16384</v>
      </c>
      <c r="B128" s="4">
        <v>6</v>
      </c>
      <c r="C128" s="4">
        <v>16390</v>
      </c>
      <c r="D128" s="5">
        <v>0</v>
      </c>
      <c r="E128" s="5">
        <v>1.5625E-2</v>
      </c>
      <c r="F128" s="4">
        <v>24</v>
      </c>
      <c r="G128" s="4">
        <v>8192</v>
      </c>
    </row>
    <row r="129" spans="1:7" x14ac:dyDescent="0.25">
      <c r="A129" s="4">
        <v>16384</v>
      </c>
      <c r="B129" s="4">
        <v>7</v>
      </c>
      <c r="C129" s="4">
        <v>16391</v>
      </c>
      <c r="D129" s="5">
        <v>1.5625E-2</v>
      </c>
      <c r="E129" s="5">
        <v>0</v>
      </c>
      <c r="F129" s="4">
        <v>24</v>
      </c>
      <c r="G129" s="4">
        <v>8192</v>
      </c>
    </row>
    <row r="130" spans="1:7" x14ac:dyDescent="0.25">
      <c r="A130" s="4">
        <v>16384</v>
      </c>
      <c r="B130" s="4">
        <v>8</v>
      </c>
      <c r="C130" s="4">
        <v>16392</v>
      </c>
      <c r="D130" s="5">
        <v>0</v>
      </c>
      <c r="E130" s="5">
        <v>0</v>
      </c>
      <c r="F130" s="4">
        <v>24</v>
      </c>
      <c r="G130" s="4">
        <v>8192</v>
      </c>
    </row>
    <row r="131" spans="1:7" x14ac:dyDescent="0.25">
      <c r="A131" s="4">
        <v>16384</v>
      </c>
      <c r="B131" s="4">
        <v>9</v>
      </c>
      <c r="C131" s="4">
        <v>16393</v>
      </c>
      <c r="D131" s="5">
        <v>1.5625E-2</v>
      </c>
      <c r="E131" s="5">
        <v>0</v>
      </c>
      <c r="F131" s="4">
        <v>24</v>
      </c>
      <c r="G131" s="4">
        <v>8192</v>
      </c>
    </row>
    <row r="132" spans="1:7" x14ac:dyDescent="0.25">
      <c r="A132" s="4">
        <v>16384</v>
      </c>
      <c r="B132" s="4">
        <v>10</v>
      </c>
      <c r="C132" s="4">
        <v>16394</v>
      </c>
      <c r="D132" s="5">
        <v>1.5625E-2</v>
      </c>
      <c r="E132" s="5">
        <v>0</v>
      </c>
      <c r="F132" s="4">
        <v>24</v>
      </c>
      <c r="G132" s="4">
        <v>8192</v>
      </c>
    </row>
    <row r="133" spans="1:7" x14ac:dyDescent="0.25">
      <c r="A133" s="4">
        <v>16384</v>
      </c>
      <c r="B133" s="4">
        <v>11</v>
      </c>
      <c r="C133" s="4">
        <v>16395</v>
      </c>
      <c r="D133" s="5">
        <v>0</v>
      </c>
      <c r="E133" s="5">
        <v>1.5625E-2</v>
      </c>
      <c r="F133" s="4">
        <v>24</v>
      </c>
      <c r="G133" s="4">
        <v>8192</v>
      </c>
    </row>
    <row r="134" spans="1:7" x14ac:dyDescent="0.25">
      <c r="A134" s="4">
        <v>16384</v>
      </c>
      <c r="B134" s="4">
        <v>12</v>
      </c>
      <c r="C134" s="4">
        <v>16396</v>
      </c>
      <c r="D134" s="5">
        <v>0</v>
      </c>
      <c r="E134" s="5">
        <v>0</v>
      </c>
      <c r="F134" s="4">
        <v>24</v>
      </c>
      <c r="G134" s="4">
        <v>8192</v>
      </c>
    </row>
    <row r="135" spans="1:7" x14ac:dyDescent="0.25">
      <c r="A135" s="4">
        <v>16384</v>
      </c>
      <c r="B135" s="4">
        <v>13</v>
      </c>
      <c r="C135" s="4">
        <v>16397</v>
      </c>
      <c r="D135" s="5">
        <v>0</v>
      </c>
      <c r="E135" s="5">
        <v>1.5625E-2</v>
      </c>
      <c r="F135" s="4">
        <v>24</v>
      </c>
      <c r="G135" s="4">
        <v>8192</v>
      </c>
    </row>
    <row r="136" spans="1:7" x14ac:dyDescent="0.25">
      <c r="A136" s="4">
        <v>16384</v>
      </c>
      <c r="B136" s="4">
        <v>14</v>
      </c>
      <c r="C136" s="4">
        <v>16398</v>
      </c>
      <c r="D136" s="5">
        <v>0</v>
      </c>
      <c r="E136" s="5">
        <v>0</v>
      </c>
      <c r="F136" s="4">
        <v>24</v>
      </c>
      <c r="G136" s="4">
        <v>8192</v>
      </c>
    </row>
    <row r="137" spans="1:7" x14ac:dyDescent="0.25">
      <c r="A137" s="4">
        <v>16384</v>
      </c>
      <c r="B137" s="4">
        <v>15</v>
      </c>
      <c r="C137" s="4">
        <v>16399</v>
      </c>
      <c r="D137" s="5">
        <v>0</v>
      </c>
      <c r="E137" s="5">
        <v>1.5625E-2</v>
      </c>
      <c r="F137" s="4">
        <v>24</v>
      </c>
      <c r="G137" s="4">
        <v>8192</v>
      </c>
    </row>
    <row r="138" spans="1:7" x14ac:dyDescent="0.25">
      <c r="A138" s="4">
        <v>16384</v>
      </c>
      <c r="B138" s="4">
        <v>16</v>
      </c>
      <c r="C138" s="4">
        <v>16400</v>
      </c>
      <c r="D138" s="5">
        <v>1.5625E-2</v>
      </c>
      <c r="E138" s="5">
        <v>0</v>
      </c>
      <c r="F138" s="4">
        <v>24</v>
      </c>
      <c r="G138" s="4">
        <v>8192</v>
      </c>
    </row>
    <row r="139" spans="1:7" x14ac:dyDescent="0.25">
      <c r="A139" s="4">
        <v>16384</v>
      </c>
      <c r="B139" s="4">
        <v>17</v>
      </c>
      <c r="C139" s="4">
        <v>16401</v>
      </c>
      <c r="D139" s="5">
        <v>0</v>
      </c>
      <c r="E139" s="5">
        <v>0</v>
      </c>
      <c r="F139" s="4">
        <v>24</v>
      </c>
      <c r="G139" s="4">
        <v>8192</v>
      </c>
    </row>
    <row r="140" spans="1:7" x14ac:dyDescent="0.25">
      <c r="A140" s="4">
        <v>16384</v>
      </c>
      <c r="B140" s="4">
        <v>18</v>
      </c>
      <c r="C140" s="4">
        <v>16402</v>
      </c>
      <c r="D140" s="5">
        <v>0</v>
      </c>
      <c r="E140" s="5">
        <v>0</v>
      </c>
      <c r="F140" s="4">
        <v>24</v>
      </c>
      <c r="G140" s="4">
        <v>8192</v>
      </c>
    </row>
    <row r="141" spans="1:7" x14ac:dyDescent="0.25">
      <c r="A141" s="4">
        <v>16384</v>
      </c>
      <c r="B141" s="4">
        <v>19</v>
      </c>
      <c r="C141" s="4">
        <v>16403</v>
      </c>
      <c r="D141" s="5">
        <v>0</v>
      </c>
      <c r="E141" s="5">
        <v>1.5625E-2</v>
      </c>
      <c r="F141" s="4">
        <v>24</v>
      </c>
      <c r="G141" s="4">
        <v>8192</v>
      </c>
    </row>
    <row r="142" spans="1:7" x14ac:dyDescent="0.25">
      <c r="A142" s="4">
        <v>16384</v>
      </c>
      <c r="B142" s="4">
        <v>20</v>
      </c>
      <c r="C142" s="4">
        <v>16404</v>
      </c>
      <c r="D142" s="5">
        <v>0</v>
      </c>
      <c r="E142" s="5">
        <v>1.5625E-2</v>
      </c>
      <c r="F142" s="4">
        <v>24</v>
      </c>
      <c r="G142" s="4">
        <v>8192</v>
      </c>
    </row>
    <row r="143" spans="1:7" x14ac:dyDescent="0.25">
      <c r="A143" s="4">
        <v>16384</v>
      </c>
      <c r="B143" s="4">
        <v>21</v>
      </c>
      <c r="C143" s="4">
        <v>16405</v>
      </c>
      <c r="D143" s="5">
        <v>1.5625E-2</v>
      </c>
      <c r="E143" s="5">
        <v>0</v>
      </c>
      <c r="F143" s="4">
        <v>24</v>
      </c>
      <c r="G143" s="4">
        <v>8192</v>
      </c>
    </row>
    <row r="144" spans="1:7" x14ac:dyDescent="0.25">
      <c r="A144" s="4">
        <v>16384</v>
      </c>
      <c r="B144" s="4">
        <v>22</v>
      </c>
      <c r="C144" s="4">
        <v>16406</v>
      </c>
      <c r="D144" s="5">
        <v>0</v>
      </c>
      <c r="E144" s="5">
        <v>0</v>
      </c>
      <c r="F144" s="4">
        <v>24</v>
      </c>
      <c r="G144" s="4">
        <v>8192</v>
      </c>
    </row>
    <row r="145" spans="1:7" x14ac:dyDescent="0.25">
      <c r="A145" s="4">
        <v>16384</v>
      </c>
      <c r="B145" s="4">
        <v>23</v>
      </c>
      <c r="C145" s="4">
        <v>16407</v>
      </c>
      <c r="D145" s="5">
        <v>0</v>
      </c>
      <c r="E145" s="5">
        <v>0</v>
      </c>
      <c r="F145" s="4">
        <v>24</v>
      </c>
      <c r="G145" s="4">
        <v>8192</v>
      </c>
    </row>
    <row r="146" spans="1:7" x14ac:dyDescent="0.25">
      <c r="A146" s="4">
        <v>16384</v>
      </c>
      <c r="B146" s="4">
        <v>24</v>
      </c>
      <c r="C146" s="4">
        <v>16408</v>
      </c>
      <c r="D146" s="5">
        <v>1.5625E-2</v>
      </c>
      <c r="E146" s="5">
        <v>0</v>
      </c>
      <c r="F146" s="4">
        <v>24</v>
      </c>
      <c r="G146" s="4">
        <v>8192</v>
      </c>
    </row>
    <row r="147" spans="1:7" x14ac:dyDescent="0.25">
      <c r="A147" s="4">
        <v>16384</v>
      </c>
      <c r="B147" s="4">
        <v>25</v>
      </c>
      <c r="C147" s="4">
        <v>16409</v>
      </c>
      <c r="D147" s="5">
        <v>1.5625E-2</v>
      </c>
      <c r="E147" s="5">
        <v>0</v>
      </c>
      <c r="F147" s="4">
        <v>24</v>
      </c>
      <c r="G147" s="4">
        <v>8192</v>
      </c>
    </row>
    <row r="148" spans="1:7" x14ac:dyDescent="0.25">
      <c r="A148" s="4">
        <v>16384</v>
      </c>
      <c r="B148" s="4">
        <v>26</v>
      </c>
      <c r="C148" s="4">
        <v>16410</v>
      </c>
      <c r="D148" s="5">
        <v>0</v>
      </c>
      <c r="E148" s="5">
        <v>0</v>
      </c>
      <c r="F148" s="4">
        <v>24</v>
      </c>
      <c r="G148" s="4">
        <v>8192</v>
      </c>
    </row>
    <row r="149" spans="1:7" x14ac:dyDescent="0.25">
      <c r="A149" s="4">
        <v>16384</v>
      </c>
      <c r="B149" s="4">
        <v>27</v>
      </c>
      <c r="C149" s="4">
        <v>16411</v>
      </c>
      <c r="D149" s="5">
        <v>0</v>
      </c>
      <c r="E149" s="5">
        <v>0</v>
      </c>
      <c r="F149" s="4">
        <v>24</v>
      </c>
      <c r="G149" s="4">
        <v>8192</v>
      </c>
    </row>
    <row r="150" spans="1:7" x14ac:dyDescent="0.25">
      <c r="A150" s="4">
        <v>16384</v>
      </c>
      <c r="B150" s="4">
        <v>28</v>
      </c>
      <c r="C150" s="4">
        <v>16412</v>
      </c>
      <c r="D150" s="5">
        <v>0</v>
      </c>
      <c r="E150" s="5">
        <v>1.5625E-2</v>
      </c>
      <c r="F150" s="4">
        <v>24</v>
      </c>
      <c r="G150" s="4">
        <v>8192</v>
      </c>
    </row>
    <row r="151" spans="1:7" x14ac:dyDescent="0.25">
      <c r="A151" s="4">
        <v>16384</v>
      </c>
      <c r="B151" s="4">
        <v>29</v>
      </c>
      <c r="C151" s="4">
        <v>16413</v>
      </c>
      <c r="D151" s="5">
        <v>0</v>
      </c>
      <c r="E151" s="5">
        <v>0</v>
      </c>
      <c r="F151" s="4">
        <v>24</v>
      </c>
      <c r="G151" s="4">
        <v>8192</v>
      </c>
    </row>
    <row r="152" spans="1:7" x14ac:dyDescent="0.25">
      <c r="A152" s="4">
        <v>32768</v>
      </c>
      <c r="B152" s="4">
        <v>0</v>
      </c>
      <c r="C152" s="4">
        <v>32768</v>
      </c>
      <c r="D152" s="5">
        <v>1.5625E-2</v>
      </c>
      <c r="E152" s="5">
        <v>0</v>
      </c>
      <c r="F152" s="4">
        <v>26</v>
      </c>
      <c r="G152" s="4">
        <v>16384</v>
      </c>
    </row>
    <row r="153" spans="1:7" x14ac:dyDescent="0.25">
      <c r="A153" s="4">
        <v>32768</v>
      </c>
      <c r="B153" s="4">
        <v>1</v>
      </c>
      <c r="C153" s="4">
        <v>32769</v>
      </c>
      <c r="D153" s="5">
        <v>1.5625E-2</v>
      </c>
      <c r="E153" s="5">
        <v>0</v>
      </c>
      <c r="F153" s="4">
        <v>26</v>
      </c>
      <c r="G153" s="4">
        <v>16384</v>
      </c>
    </row>
    <row r="154" spans="1:7" x14ac:dyDescent="0.25">
      <c r="A154" s="4">
        <v>32768</v>
      </c>
      <c r="B154" s="4">
        <v>2</v>
      </c>
      <c r="C154" s="4">
        <v>32770</v>
      </c>
      <c r="D154" s="5">
        <v>1.5625E-2</v>
      </c>
      <c r="E154" s="5">
        <v>0</v>
      </c>
      <c r="F154" s="4">
        <v>26</v>
      </c>
      <c r="G154" s="4">
        <v>16384</v>
      </c>
    </row>
    <row r="155" spans="1:7" x14ac:dyDescent="0.25">
      <c r="A155" s="4">
        <v>32768</v>
      </c>
      <c r="B155" s="4">
        <v>3</v>
      </c>
      <c r="C155" s="4">
        <v>32771</v>
      </c>
      <c r="D155" s="5">
        <v>0</v>
      </c>
      <c r="E155" s="5">
        <v>1.5625E-2</v>
      </c>
      <c r="F155" s="4">
        <v>26</v>
      </c>
      <c r="G155" s="4">
        <v>16384</v>
      </c>
    </row>
    <row r="156" spans="1:7" x14ac:dyDescent="0.25">
      <c r="A156" s="4">
        <v>32768</v>
      </c>
      <c r="B156" s="4">
        <v>4</v>
      </c>
      <c r="C156" s="4">
        <v>32772</v>
      </c>
      <c r="D156" s="5">
        <v>0</v>
      </c>
      <c r="E156" s="5">
        <v>1.5625E-2</v>
      </c>
      <c r="F156" s="4">
        <v>26</v>
      </c>
      <c r="G156" s="4">
        <v>16384</v>
      </c>
    </row>
    <row r="157" spans="1:7" x14ac:dyDescent="0.25">
      <c r="A157" s="4">
        <v>32768</v>
      </c>
      <c r="B157" s="4">
        <v>5</v>
      </c>
      <c r="C157" s="4">
        <v>32773</v>
      </c>
      <c r="D157" s="5">
        <v>0</v>
      </c>
      <c r="E157" s="5">
        <v>1.5625E-2</v>
      </c>
      <c r="F157" s="4">
        <v>26</v>
      </c>
      <c r="G157" s="4">
        <v>16384</v>
      </c>
    </row>
    <row r="158" spans="1:7" x14ac:dyDescent="0.25">
      <c r="A158" s="4">
        <v>32768</v>
      </c>
      <c r="B158" s="4">
        <v>6</v>
      </c>
      <c r="C158" s="4">
        <v>32774</v>
      </c>
      <c r="D158" s="5">
        <v>0</v>
      </c>
      <c r="E158" s="5">
        <v>1.5625E-2</v>
      </c>
      <c r="F158" s="4">
        <v>26</v>
      </c>
      <c r="G158" s="4">
        <v>16384</v>
      </c>
    </row>
    <row r="159" spans="1:7" x14ac:dyDescent="0.25">
      <c r="A159" s="4">
        <v>32768</v>
      </c>
      <c r="B159" s="4">
        <v>7</v>
      </c>
      <c r="C159" s="4">
        <v>32775</v>
      </c>
      <c r="D159" s="5">
        <v>1.5625E-2</v>
      </c>
      <c r="E159" s="5">
        <v>0</v>
      </c>
      <c r="F159" s="4">
        <v>26</v>
      </c>
      <c r="G159" s="4">
        <v>16384</v>
      </c>
    </row>
    <row r="160" spans="1:7" x14ac:dyDescent="0.25">
      <c r="A160" s="4">
        <v>32768</v>
      </c>
      <c r="B160" s="4">
        <v>8</v>
      </c>
      <c r="C160" s="4">
        <v>32776</v>
      </c>
      <c r="D160" s="5">
        <v>1.5625E-2</v>
      </c>
      <c r="E160" s="5">
        <v>0</v>
      </c>
      <c r="F160" s="4">
        <v>26</v>
      </c>
      <c r="G160" s="4">
        <v>16384</v>
      </c>
    </row>
    <row r="161" spans="1:7" x14ac:dyDescent="0.25">
      <c r="A161" s="4">
        <v>32768</v>
      </c>
      <c r="B161" s="4">
        <v>9</v>
      </c>
      <c r="C161" s="4">
        <v>32777</v>
      </c>
      <c r="D161" s="5">
        <v>1.5625E-2</v>
      </c>
      <c r="E161" s="5">
        <v>0</v>
      </c>
      <c r="F161" s="4">
        <v>26</v>
      </c>
      <c r="G161" s="4">
        <v>16384</v>
      </c>
    </row>
    <row r="162" spans="1:7" x14ac:dyDescent="0.25">
      <c r="A162" s="4">
        <v>32768</v>
      </c>
      <c r="B162" s="4">
        <v>10</v>
      </c>
      <c r="C162" s="4">
        <v>32778</v>
      </c>
      <c r="D162" s="5">
        <v>1.5625E-2</v>
      </c>
      <c r="E162" s="5">
        <v>1.5625E-2</v>
      </c>
      <c r="F162" s="4">
        <v>26</v>
      </c>
      <c r="G162" s="4">
        <v>16384</v>
      </c>
    </row>
    <row r="163" spans="1:7" x14ac:dyDescent="0.25">
      <c r="A163" s="4">
        <v>32768</v>
      </c>
      <c r="B163" s="4">
        <v>11</v>
      </c>
      <c r="C163" s="4">
        <v>32779</v>
      </c>
      <c r="D163" s="5">
        <v>0</v>
      </c>
      <c r="E163" s="5">
        <v>1.5625E-2</v>
      </c>
      <c r="F163" s="4">
        <v>26</v>
      </c>
      <c r="G163" s="4">
        <v>16384</v>
      </c>
    </row>
    <row r="164" spans="1:7" x14ac:dyDescent="0.25">
      <c r="A164" s="4">
        <v>32768</v>
      </c>
      <c r="B164" s="4">
        <v>12</v>
      </c>
      <c r="C164" s="4">
        <v>32780</v>
      </c>
      <c r="D164" s="5">
        <v>0</v>
      </c>
      <c r="E164" s="5">
        <v>1.5625E-2</v>
      </c>
      <c r="F164" s="4">
        <v>26</v>
      </c>
      <c r="G164" s="4">
        <v>16384</v>
      </c>
    </row>
    <row r="165" spans="1:7" x14ac:dyDescent="0.25">
      <c r="A165" s="4">
        <v>32768</v>
      </c>
      <c r="B165" s="4">
        <v>13</v>
      </c>
      <c r="C165" s="4">
        <v>32781</v>
      </c>
      <c r="D165" s="5">
        <v>1.5625E-2</v>
      </c>
      <c r="E165" s="5">
        <v>0</v>
      </c>
      <c r="F165" s="4">
        <v>26</v>
      </c>
      <c r="G165" s="4">
        <v>16384</v>
      </c>
    </row>
    <row r="166" spans="1:7" x14ac:dyDescent="0.25">
      <c r="A166" s="4">
        <v>32768</v>
      </c>
      <c r="B166" s="4">
        <v>14</v>
      </c>
      <c r="C166" s="4">
        <v>32782</v>
      </c>
      <c r="D166" s="5">
        <v>1.5625E-2</v>
      </c>
      <c r="E166" s="5">
        <v>0</v>
      </c>
      <c r="F166" s="4">
        <v>26</v>
      </c>
      <c r="G166" s="4">
        <v>16384</v>
      </c>
    </row>
    <row r="167" spans="1:7" x14ac:dyDescent="0.25">
      <c r="A167" s="4">
        <v>32768</v>
      </c>
      <c r="B167" s="4">
        <v>15</v>
      </c>
      <c r="C167" s="4">
        <v>32783</v>
      </c>
      <c r="D167" s="5">
        <v>1.5625E-2</v>
      </c>
      <c r="E167" s="5">
        <v>0</v>
      </c>
      <c r="F167" s="4">
        <v>26</v>
      </c>
      <c r="G167" s="4">
        <v>16384</v>
      </c>
    </row>
    <row r="168" spans="1:7" x14ac:dyDescent="0.25">
      <c r="A168" s="4">
        <v>32768</v>
      </c>
      <c r="B168" s="4">
        <v>16</v>
      </c>
      <c r="C168" s="4">
        <v>32784</v>
      </c>
      <c r="D168" s="5">
        <v>1.5625E-2</v>
      </c>
      <c r="E168" s="5">
        <v>1.5625E-2</v>
      </c>
      <c r="F168" s="4">
        <v>26</v>
      </c>
      <c r="G168" s="4">
        <v>16384</v>
      </c>
    </row>
    <row r="169" spans="1:7" x14ac:dyDescent="0.25">
      <c r="A169" s="4">
        <v>32768</v>
      </c>
      <c r="B169" s="4">
        <v>17</v>
      </c>
      <c r="C169" s="4">
        <v>32785</v>
      </c>
      <c r="D169" s="5">
        <v>1.5625E-2</v>
      </c>
      <c r="E169" s="5">
        <v>1.5625E-2</v>
      </c>
      <c r="F169" s="4">
        <v>26</v>
      </c>
      <c r="G169" s="4">
        <v>16384</v>
      </c>
    </row>
    <row r="170" spans="1:7" x14ac:dyDescent="0.25">
      <c r="A170" s="4">
        <v>32768</v>
      </c>
      <c r="B170" s="4">
        <v>18</v>
      </c>
      <c r="C170" s="4">
        <v>32786</v>
      </c>
      <c r="D170" s="5">
        <v>1.5625E-2</v>
      </c>
      <c r="E170" s="5">
        <v>1.5625E-2</v>
      </c>
      <c r="F170" s="4">
        <v>26</v>
      </c>
      <c r="G170" s="4">
        <v>16384</v>
      </c>
    </row>
    <row r="171" spans="1:7" x14ac:dyDescent="0.25">
      <c r="A171" s="4">
        <v>32768</v>
      </c>
      <c r="B171" s="4">
        <v>19</v>
      </c>
      <c r="C171" s="4">
        <v>32787</v>
      </c>
      <c r="D171" s="5">
        <v>0</v>
      </c>
      <c r="E171" s="5">
        <v>1.5625E-2</v>
      </c>
      <c r="F171" s="4">
        <v>26</v>
      </c>
      <c r="G171" s="4">
        <v>16384</v>
      </c>
    </row>
    <row r="172" spans="1:7" x14ac:dyDescent="0.25">
      <c r="A172" s="4">
        <v>32768</v>
      </c>
      <c r="B172" s="4">
        <v>20</v>
      </c>
      <c r="C172" s="4">
        <v>32788</v>
      </c>
      <c r="D172" s="5">
        <v>1.5625E-2</v>
      </c>
      <c r="E172" s="5">
        <v>0</v>
      </c>
      <c r="F172" s="4">
        <v>26</v>
      </c>
      <c r="G172" s="4">
        <v>16384</v>
      </c>
    </row>
    <row r="173" spans="1:7" x14ac:dyDescent="0.25">
      <c r="A173" s="4">
        <v>32768</v>
      </c>
      <c r="B173" s="4">
        <v>21</v>
      </c>
      <c r="C173" s="4">
        <v>32789</v>
      </c>
      <c r="D173" s="5">
        <v>1.5625E-2</v>
      </c>
      <c r="E173" s="5">
        <v>1.5625E-2</v>
      </c>
      <c r="F173" s="4">
        <v>26</v>
      </c>
      <c r="G173" s="4">
        <v>16384</v>
      </c>
    </row>
    <row r="174" spans="1:7" x14ac:dyDescent="0.25">
      <c r="A174" s="4">
        <v>32768</v>
      </c>
      <c r="B174" s="4">
        <v>22</v>
      </c>
      <c r="C174" s="4">
        <v>32790</v>
      </c>
      <c r="D174" s="5">
        <v>1.5625E-2</v>
      </c>
      <c r="E174" s="5">
        <v>0</v>
      </c>
      <c r="F174" s="4">
        <v>26</v>
      </c>
      <c r="G174" s="4">
        <v>16384</v>
      </c>
    </row>
    <row r="175" spans="1:7" x14ac:dyDescent="0.25">
      <c r="A175" s="4">
        <v>32768</v>
      </c>
      <c r="B175" s="4">
        <v>23</v>
      </c>
      <c r="C175" s="4">
        <v>32791</v>
      </c>
      <c r="D175" s="5">
        <v>1.5625E-2</v>
      </c>
      <c r="E175" s="5">
        <v>0</v>
      </c>
      <c r="F175" s="4">
        <v>26</v>
      </c>
      <c r="G175" s="4">
        <v>16384</v>
      </c>
    </row>
    <row r="176" spans="1:7" x14ac:dyDescent="0.25">
      <c r="A176" s="4">
        <v>32768</v>
      </c>
      <c r="B176" s="4">
        <v>24</v>
      </c>
      <c r="C176" s="4">
        <v>32792</v>
      </c>
      <c r="D176" s="5">
        <v>0</v>
      </c>
      <c r="E176" s="5">
        <v>1.5625E-2</v>
      </c>
      <c r="F176" s="4">
        <v>26</v>
      </c>
      <c r="G176" s="4">
        <v>16384</v>
      </c>
    </row>
    <row r="177" spans="1:7" x14ac:dyDescent="0.25">
      <c r="A177" s="4">
        <v>32768</v>
      </c>
      <c r="B177" s="4">
        <v>25</v>
      </c>
      <c r="C177" s="4">
        <v>32793</v>
      </c>
      <c r="D177" s="5">
        <v>0</v>
      </c>
      <c r="E177" s="5">
        <v>1.5625E-2</v>
      </c>
      <c r="F177" s="4">
        <v>26</v>
      </c>
      <c r="G177" s="4">
        <v>16384</v>
      </c>
    </row>
    <row r="178" spans="1:7" x14ac:dyDescent="0.25">
      <c r="A178" s="4">
        <v>32768</v>
      </c>
      <c r="B178" s="4">
        <v>26</v>
      </c>
      <c r="C178" s="4">
        <v>32794</v>
      </c>
      <c r="D178" s="5">
        <v>0</v>
      </c>
      <c r="E178" s="5">
        <v>1.5625E-2</v>
      </c>
      <c r="F178" s="4">
        <v>26</v>
      </c>
      <c r="G178" s="4">
        <v>16384</v>
      </c>
    </row>
    <row r="179" spans="1:7" x14ac:dyDescent="0.25">
      <c r="A179" s="4">
        <v>32768</v>
      </c>
      <c r="B179" s="4">
        <v>27</v>
      </c>
      <c r="C179" s="4">
        <v>32795</v>
      </c>
      <c r="D179" s="5">
        <v>0</v>
      </c>
      <c r="E179" s="5">
        <v>1.5625E-2</v>
      </c>
      <c r="F179" s="4">
        <v>26</v>
      </c>
      <c r="G179" s="4">
        <v>16384</v>
      </c>
    </row>
    <row r="180" spans="1:7" x14ac:dyDescent="0.25">
      <c r="A180" s="4">
        <v>32768</v>
      </c>
      <c r="B180" s="4">
        <v>28</v>
      </c>
      <c r="C180" s="4">
        <v>32796</v>
      </c>
      <c r="D180" s="5">
        <v>0</v>
      </c>
      <c r="E180" s="5">
        <v>1.5625E-2</v>
      </c>
      <c r="F180" s="4">
        <v>26</v>
      </c>
      <c r="G180" s="4">
        <v>16384</v>
      </c>
    </row>
    <row r="181" spans="1:7" x14ac:dyDescent="0.25">
      <c r="A181" s="4">
        <v>32768</v>
      </c>
      <c r="B181" s="4">
        <v>29</v>
      </c>
      <c r="C181" s="4">
        <v>32797</v>
      </c>
      <c r="D181" s="5">
        <v>1.5625E-2</v>
      </c>
      <c r="E181" s="5">
        <v>0</v>
      </c>
      <c r="F181" s="4">
        <v>26</v>
      </c>
      <c r="G181" s="4">
        <v>16384</v>
      </c>
    </row>
    <row r="182" spans="1:7" x14ac:dyDescent="0.25">
      <c r="A182" s="4">
        <v>65536</v>
      </c>
      <c r="B182" s="4">
        <v>0</v>
      </c>
      <c r="C182" s="4">
        <v>65536</v>
      </c>
      <c r="D182" s="5">
        <v>1.5625E-2</v>
      </c>
      <c r="E182" s="5">
        <v>3.125E-2</v>
      </c>
      <c r="F182" s="4">
        <v>28</v>
      </c>
      <c r="G182" s="4">
        <v>32768</v>
      </c>
    </row>
    <row r="183" spans="1:7" x14ac:dyDescent="0.25">
      <c r="A183" s="4">
        <v>65536</v>
      </c>
      <c r="B183" s="4">
        <v>1</v>
      </c>
      <c r="C183" s="4">
        <v>65537</v>
      </c>
      <c r="D183" s="5">
        <v>1.5625E-2</v>
      </c>
      <c r="E183" s="5">
        <v>1.5625E-2</v>
      </c>
      <c r="F183" s="4">
        <v>28</v>
      </c>
      <c r="G183" s="4">
        <v>32768</v>
      </c>
    </row>
    <row r="184" spans="1:7" x14ac:dyDescent="0.25">
      <c r="A184" s="4">
        <v>65536</v>
      </c>
      <c r="B184" s="4">
        <v>2</v>
      </c>
      <c r="C184" s="4">
        <v>65538</v>
      </c>
      <c r="D184" s="5">
        <v>1.5625E-2</v>
      </c>
      <c r="E184" s="5">
        <v>3.125E-2</v>
      </c>
      <c r="F184" s="4">
        <v>28</v>
      </c>
      <c r="G184" s="4">
        <v>32768</v>
      </c>
    </row>
    <row r="185" spans="1:7" x14ac:dyDescent="0.25">
      <c r="A185" s="4">
        <v>65536</v>
      </c>
      <c r="B185" s="4">
        <v>3</v>
      </c>
      <c r="C185" s="4">
        <v>65539</v>
      </c>
      <c r="D185" s="5">
        <v>1.5625E-2</v>
      </c>
      <c r="E185" s="5">
        <v>1.5625E-2</v>
      </c>
      <c r="F185" s="4">
        <v>28</v>
      </c>
      <c r="G185" s="4">
        <v>32768</v>
      </c>
    </row>
    <row r="186" spans="1:7" x14ac:dyDescent="0.25">
      <c r="A186" s="4">
        <v>65536</v>
      </c>
      <c r="B186" s="4">
        <v>4</v>
      </c>
      <c r="C186" s="4">
        <v>65540</v>
      </c>
      <c r="D186" s="5">
        <v>1.5625E-2</v>
      </c>
      <c r="E186" s="5">
        <v>1.5625E-2</v>
      </c>
      <c r="F186" s="4">
        <v>28</v>
      </c>
      <c r="G186" s="4">
        <v>32768</v>
      </c>
    </row>
    <row r="187" spans="1:7" x14ac:dyDescent="0.25">
      <c r="A187" s="4">
        <v>65536</v>
      </c>
      <c r="B187" s="4">
        <v>5</v>
      </c>
      <c r="C187" s="4">
        <v>65541</v>
      </c>
      <c r="D187" s="5">
        <v>1.5625E-2</v>
      </c>
      <c r="E187" s="5">
        <v>1.5625E-2</v>
      </c>
      <c r="F187" s="4">
        <v>28</v>
      </c>
      <c r="G187" s="4">
        <v>32768</v>
      </c>
    </row>
    <row r="188" spans="1:7" x14ac:dyDescent="0.25">
      <c r="A188" s="4">
        <v>65536</v>
      </c>
      <c r="B188" s="4">
        <v>6</v>
      </c>
      <c r="C188" s="4">
        <v>65542</v>
      </c>
      <c r="D188" s="5">
        <v>1.5625E-2</v>
      </c>
      <c r="E188" s="5">
        <v>3.125E-2</v>
      </c>
      <c r="F188" s="4">
        <v>28</v>
      </c>
      <c r="G188" s="4">
        <v>32768</v>
      </c>
    </row>
    <row r="189" spans="1:7" x14ac:dyDescent="0.25">
      <c r="A189" s="4">
        <v>65536</v>
      </c>
      <c r="B189" s="4">
        <v>7</v>
      </c>
      <c r="C189" s="4">
        <v>65543</v>
      </c>
      <c r="D189" s="5">
        <v>1.5625E-2</v>
      </c>
      <c r="E189" s="5">
        <v>1.5625E-2</v>
      </c>
      <c r="F189" s="4">
        <v>28</v>
      </c>
      <c r="G189" s="4">
        <v>32768</v>
      </c>
    </row>
    <row r="190" spans="1:7" x14ac:dyDescent="0.25">
      <c r="A190" s="4">
        <v>65536</v>
      </c>
      <c r="B190" s="4">
        <v>8</v>
      </c>
      <c r="C190" s="4">
        <v>65544</v>
      </c>
      <c r="D190" s="5">
        <v>1.5625E-2</v>
      </c>
      <c r="E190" s="5">
        <v>1.5625E-2</v>
      </c>
      <c r="F190" s="4">
        <v>28</v>
      </c>
      <c r="G190" s="4">
        <v>32768</v>
      </c>
    </row>
    <row r="191" spans="1:7" x14ac:dyDescent="0.25">
      <c r="A191" s="4">
        <v>65536</v>
      </c>
      <c r="B191" s="4">
        <v>9</v>
      </c>
      <c r="C191" s="4">
        <v>65545</v>
      </c>
      <c r="D191" s="5">
        <v>1.5625E-2</v>
      </c>
      <c r="E191" s="5">
        <v>1.5625E-2</v>
      </c>
      <c r="F191" s="4">
        <v>28</v>
      </c>
      <c r="G191" s="4">
        <v>32768</v>
      </c>
    </row>
    <row r="192" spans="1:7" x14ac:dyDescent="0.25">
      <c r="A192" s="4">
        <v>65536</v>
      </c>
      <c r="B192" s="4">
        <v>10</v>
      </c>
      <c r="C192" s="4">
        <v>65546</v>
      </c>
      <c r="D192" s="5">
        <v>1.5625E-2</v>
      </c>
      <c r="E192" s="5">
        <v>1.5625E-2</v>
      </c>
      <c r="F192" s="4">
        <v>28</v>
      </c>
      <c r="G192" s="4">
        <v>32768</v>
      </c>
    </row>
    <row r="193" spans="1:7" x14ac:dyDescent="0.25">
      <c r="A193" s="4">
        <v>65536</v>
      </c>
      <c r="B193" s="4">
        <v>11</v>
      </c>
      <c r="C193" s="4">
        <v>65547</v>
      </c>
      <c r="D193" s="5">
        <v>1.5625E-2</v>
      </c>
      <c r="E193" s="5">
        <v>3.125E-2</v>
      </c>
      <c r="F193" s="4">
        <v>28</v>
      </c>
      <c r="G193" s="4">
        <v>32768</v>
      </c>
    </row>
    <row r="194" spans="1:7" x14ac:dyDescent="0.25">
      <c r="A194" s="4">
        <v>65536</v>
      </c>
      <c r="B194" s="4">
        <v>12</v>
      </c>
      <c r="C194" s="4">
        <v>65548</v>
      </c>
      <c r="D194" s="5">
        <v>1.5625E-2</v>
      </c>
      <c r="E194" s="5">
        <v>1.5625E-2</v>
      </c>
      <c r="F194" s="4">
        <v>28</v>
      </c>
      <c r="G194" s="4">
        <v>32768</v>
      </c>
    </row>
    <row r="195" spans="1:7" x14ac:dyDescent="0.25">
      <c r="A195" s="4">
        <v>65536</v>
      </c>
      <c r="B195" s="4">
        <v>13</v>
      </c>
      <c r="C195" s="4">
        <v>65549</v>
      </c>
      <c r="D195" s="5">
        <v>1.5625E-2</v>
      </c>
      <c r="E195" s="5">
        <v>1.5625E-2</v>
      </c>
      <c r="F195" s="4">
        <v>28</v>
      </c>
      <c r="G195" s="4">
        <v>32768</v>
      </c>
    </row>
    <row r="196" spans="1:7" x14ac:dyDescent="0.25">
      <c r="A196" s="4">
        <v>65536</v>
      </c>
      <c r="B196" s="4">
        <v>14</v>
      </c>
      <c r="C196" s="4">
        <v>65550</v>
      </c>
      <c r="D196" s="5">
        <v>1.5625E-2</v>
      </c>
      <c r="E196" s="5">
        <v>1.5625E-2</v>
      </c>
      <c r="F196" s="4">
        <v>28</v>
      </c>
      <c r="G196" s="4">
        <v>32768</v>
      </c>
    </row>
    <row r="197" spans="1:7" x14ac:dyDescent="0.25">
      <c r="A197" s="4">
        <v>65536</v>
      </c>
      <c r="B197" s="4">
        <v>15</v>
      </c>
      <c r="C197" s="4">
        <v>65551</v>
      </c>
      <c r="D197" s="5">
        <v>1.5625E-2</v>
      </c>
      <c r="E197" s="5">
        <v>1.5625E-2</v>
      </c>
      <c r="F197" s="4">
        <v>28</v>
      </c>
      <c r="G197" s="4">
        <v>32768</v>
      </c>
    </row>
    <row r="198" spans="1:7" x14ac:dyDescent="0.25">
      <c r="A198" s="4">
        <v>65536</v>
      </c>
      <c r="B198" s="4">
        <v>16</v>
      </c>
      <c r="C198" s="4">
        <v>65552</v>
      </c>
      <c r="D198" s="5">
        <v>1.5625E-2</v>
      </c>
      <c r="E198" s="5">
        <v>1.5625E-2</v>
      </c>
      <c r="F198" s="4">
        <v>28</v>
      </c>
      <c r="G198" s="4">
        <v>32768</v>
      </c>
    </row>
    <row r="199" spans="1:7" x14ac:dyDescent="0.25">
      <c r="A199" s="4">
        <v>65536</v>
      </c>
      <c r="B199" s="4">
        <v>17</v>
      </c>
      <c r="C199" s="4">
        <v>65553</v>
      </c>
      <c r="D199" s="5">
        <v>1.5625E-2</v>
      </c>
      <c r="E199" s="5">
        <v>1.5625E-2</v>
      </c>
      <c r="F199" s="4">
        <v>28</v>
      </c>
      <c r="G199" s="4">
        <v>32768</v>
      </c>
    </row>
    <row r="200" spans="1:7" x14ac:dyDescent="0.25">
      <c r="A200" s="4">
        <v>65536</v>
      </c>
      <c r="B200" s="4">
        <v>18</v>
      </c>
      <c r="C200" s="4">
        <v>65554</v>
      </c>
      <c r="D200" s="5">
        <v>1.5625E-2</v>
      </c>
      <c r="E200" s="5">
        <v>1.5625E-2</v>
      </c>
      <c r="F200" s="4">
        <v>28</v>
      </c>
      <c r="G200" s="4">
        <v>32768</v>
      </c>
    </row>
    <row r="201" spans="1:7" x14ac:dyDescent="0.25">
      <c r="A201" s="4">
        <v>65536</v>
      </c>
      <c r="B201" s="4">
        <v>19</v>
      </c>
      <c r="C201" s="4">
        <v>65555</v>
      </c>
      <c r="D201" s="5">
        <v>1.5625E-2</v>
      </c>
      <c r="E201" s="5">
        <v>1.5625E-2</v>
      </c>
      <c r="F201" s="4">
        <v>28</v>
      </c>
      <c r="G201" s="4">
        <v>32768</v>
      </c>
    </row>
    <row r="202" spans="1:7" x14ac:dyDescent="0.25">
      <c r="A202" s="4">
        <v>65536</v>
      </c>
      <c r="B202" s="4">
        <v>20</v>
      </c>
      <c r="C202" s="4">
        <v>65556</v>
      </c>
      <c r="D202" s="5">
        <v>1.5625E-2</v>
      </c>
      <c r="E202" s="5">
        <v>1.5625E-2</v>
      </c>
      <c r="F202" s="4">
        <v>28</v>
      </c>
      <c r="G202" s="4">
        <v>32768</v>
      </c>
    </row>
    <row r="203" spans="1:7" x14ac:dyDescent="0.25">
      <c r="A203" s="4">
        <v>65536</v>
      </c>
      <c r="B203" s="4">
        <v>21</v>
      </c>
      <c r="C203" s="4">
        <v>65557</v>
      </c>
      <c r="D203" s="5">
        <v>1.5625E-2</v>
      </c>
      <c r="E203" s="5">
        <v>1.5625E-2</v>
      </c>
      <c r="F203" s="4">
        <v>28</v>
      </c>
      <c r="G203" s="4">
        <v>32768</v>
      </c>
    </row>
    <row r="204" spans="1:7" x14ac:dyDescent="0.25">
      <c r="A204" s="4">
        <v>65536</v>
      </c>
      <c r="B204" s="4">
        <v>22</v>
      </c>
      <c r="C204" s="4">
        <v>65558</v>
      </c>
      <c r="D204" s="5">
        <v>1.5625E-2</v>
      </c>
      <c r="E204" s="5">
        <v>1.5625E-2</v>
      </c>
      <c r="F204" s="4">
        <v>28</v>
      </c>
      <c r="G204" s="4">
        <v>32768</v>
      </c>
    </row>
    <row r="205" spans="1:7" x14ac:dyDescent="0.25">
      <c r="A205" s="4">
        <v>65536</v>
      </c>
      <c r="B205" s="4">
        <v>23</v>
      </c>
      <c r="C205" s="4">
        <v>65559</v>
      </c>
      <c r="D205" s="5">
        <v>1.5625E-2</v>
      </c>
      <c r="E205" s="5">
        <v>1.5625E-2</v>
      </c>
      <c r="F205" s="4">
        <v>28</v>
      </c>
      <c r="G205" s="4">
        <v>32768</v>
      </c>
    </row>
    <row r="206" spans="1:7" x14ac:dyDescent="0.25">
      <c r="A206" s="4">
        <v>65536</v>
      </c>
      <c r="B206" s="4">
        <v>24</v>
      </c>
      <c r="C206" s="4">
        <v>65560</v>
      </c>
      <c r="D206" s="5">
        <v>1.5625E-2</v>
      </c>
      <c r="E206" s="5">
        <v>1.5625E-2</v>
      </c>
      <c r="F206" s="4">
        <v>28</v>
      </c>
      <c r="G206" s="4">
        <v>32768</v>
      </c>
    </row>
    <row r="207" spans="1:7" x14ac:dyDescent="0.25">
      <c r="A207" s="4">
        <v>65536</v>
      </c>
      <c r="B207" s="4">
        <v>25</v>
      </c>
      <c r="C207" s="4">
        <v>65561</v>
      </c>
      <c r="D207" s="5">
        <v>1.5625E-2</v>
      </c>
      <c r="E207" s="5">
        <v>3.125E-2</v>
      </c>
      <c r="F207" s="4">
        <v>28</v>
      </c>
      <c r="G207" s="4">
        <v>32768</v>
      </c>
    </row>
    <row r="208" spans="1:7" x14ac:dyDescent="0.25">
      <c r="A208" s="4">
        <v>65536</v>
      </c>
      <c r="B208" s="4">
        <v>26</v>
      </c>
      <c r="C208" s="4">
        <v>65562</v>
      </c>
      <c r="D208" s="5">
        <v>1.5625E-2</v>
      </c>
      <c r="E208" s="5">
        <v>1.5625E-2</v>
      </c>
      <c r="F208" s="4">
        <v>28</v>
      </c>
      <c r="G208" s="4">
        <v>32768</v>
      </c>
    </row>
    <row r="209" spans="1:7" x14ac:dyDescent="0.25">
      <c r="A209" s="4">
        <v>65536</v>
      </c>
      <c r="B209" s="4">
        <v>27</v>
      </c>
      <c r="C209" s="4">
        <v>65563</v>
      </c>
      <c r="D209" s="5">
        <v>1.5625E-2</v>
      </c>
      <c r="E209" s="5">
        <v>1.5625E-2</v>
      </c>
      <c r="F209" s="4">
        <v>28</v>
      </c>
      <c r="G209" s="4">
        <v>32768</v>
      </c>
    </row>
    <row r="210" spans="1:7" x14ac:dyDescent="0.25">
      <c r="A210" s="4">
        <v>65536</v>
      </c>
      <c r="B210" s="4">
        <v>28</v>
      </c>
      <c r="C210" s="4">
        <v>65564</v>
      </c>
      <c r="D210" s="5">
        <v>1.5625E-2</v>
      </c>
      <c r="E210" s="5">
        <v>1.5625E-2</v>
      </c>
      <c r="F210" s="4">
        <v>28</v>
      </c>
      <c r="G210" s="4">
        <v>32768</v>
      </c>
    </row>
    <row r="211" spans="1:7" x14ac:dyDescent="0.25">
      <c r="A211" s="4">
        <v>65536</v>
      </c>
      <c r="B211" s="4">
        <v>29</v>
      </c>
      <c r="C211" s="4">
        <v>65565</v>
      </c>
      <c r="D211" s="5">
        <v>3.125E-2</v>
      </c>
      <c r="E211" s="5">
        <v>1.5625E-2</v>
      </c>
      <c r="F211" s="4">
        <v>28</v>
      </c>
      <c r="G211" s="4">
        <v>32768</v>
      </c>
    </row>
    <row r="212" spans="1:7" x14ac:dyDescent="0.25">
      <c r="A212" s="4">
        <v>131072</v>
      </c>
      <c r="B212" s="4">
        <v>0</v>
      </c>
      <c r="C212" s="4">
        <v>131072</v>
      </c>
      <c r="D212" s="5">
        <v>4.6875E-2</v>
      </c>
      <c r="E212" s="5">
        <v>3.125E-2</v>
      </c>
      <c r="F212" s="4">
        <v>30</v>
      </c>
      <c r="G212" s="4">
        <v>65536</v>
      </c>
    </row>
    <row r="213" spans="1:7" x14ac:dyDescent="0.25">
      <c r="A213" s="4">
        <v>131072</v>
      </c>
      <c r="B213" s="4">
        <v>1</v>
      </c>
      <c r="C213" s="4">
        <v>131073</v>
      </c>
      <c r="D213" s="5">
        <v>4.6875E-2</v>
      </c>
      <c r="E213" s="5">
        <v>3.125E-2</v>
      </c>
      <c r="F213" s="4">
        <v>30</v>
      </c>
      <c r="G213" s="4">
        <v>65536</v>
      </c>
    </row>
    <row r="214" spans="1:7" x14ac:dyDescent="0.25">
      <c r="A214" s="4">
        <v>131072</v>
      </c>
      <c r="B214" s="4">
        <v>2</v>
      </c>
      <c r="C214" s="4">
        <v>131074</v>
      </c>
      <c r="D214" s="5">
        <v>3.125E-2</v>
      </c>
      <c r="E214" s="5">
        <v>4.6875E-2</v>
      </c>
      <c r="F214" s="4">
        <v>30</v>
      </c>
      <c r="G214" s="4">
        <v>65536</v>
      </c>
    </row>
    <row r="215" spans="1:7" x14ac:dyDescent="0.25">
      <c r="A215" s="4">
        <v>131072</v>
      </c>
      <c r="B215" s="4">
        <v>3</v>
      </c>
      <c r="C215" s="4">
        <v>131075</v>
      </c>
      <c r="D215" s="5">
        <v>3.125E-2</v>
      </c>
      <c r="E215" s="5">
        <v>4.6875E-2</v>
      </c>
      <c r="F215" s="4">
        <v>30</v>
      </c>
      <c r="G215" s="4">
        <v>65536</v>
      </c>
    </row>
    <row r="216" spans="1:7" x14ac:dyDescent="0.25">
      <c r="A216" s="4">
        <v>131072</v>
      </c>
      <c r="B216" s="4">
        <v>4</v>
      </c>
      <c r="C216" s="4">
        <v>131076</v>
      </c>
      <c r="D216" s="5">
        <v>4.6875E-2</v>
      </c>
      <c r="E216" s="5">
        <v>3.125E-2</v>
      </c>
      <c r="F216" s="4">
        <v>30</v>
      </c>
      <c r="G216" s="4">
        <v>65536</v>
      </c>
    </row>
    <row r="217" spans="1:7" x14ac:dyDescent="0.25">
      <c r="A217" s="4">
        <v>131072</v>
      </c>
      <c r="B217" s="4">
        <v>5</v>
      </c>
      <c r="C217" s="4">
        <v>131077</v>
      </c>
      <c r="D217" s="5">
        <v>3.125E-2</v>
      </c>
      <c r="E217" s="5">
        <v>3.125E-2</v>
      </c>
      <c r="F217" s="4">
        <v>30</v>
      </c>
      <c r="G217" s="4">
        <v>65536</v>
      </c>
    </row>
    <row r="218" spans="1:7" x14ac:dyDescent="0.25">
      <c r="A218" s="4">
        <v>131072</v>
      </c>
      <c r="B218" s="4">
        <v>6</v>
      </c>
      <c r="C218" s="4">
        <v>131078</v>
      </c>
      <c r="D218" s="5">
        <v>3.125E-2</v>
      </c>
      <c r="E218" s="5">
        <v>4.6875E-2</v>
      </c>
      <c r="F218" s="4">
        <v>30</v>
      </c>
      <c r="G218" s="4">
        <v>65536</v>
      </c>
    </row>
    <row r="219" spans="1:7" x14ac:dyDescent="0.25">
      <c r="A219" s="4">
        <v>131072</v>
      </c>
      <c r="B219" s="4">
        <v>7</v>
      </c>
      <c r="C219" s="4">
        <v>131079</v>
      </c>
      <c r="D219" s="5">
        <v>3.125E-2</v>
      </c>
      <c r="E219" s="5">
        <v>3.125E-2</v>
      </c>
      <c r="F219" s="4">
        <v>30</v>
      </c>
      <c r="G219" s="4">
        <v>65536</v>
      </c>
    </row>
    <row r="220" spans="1:7" x14ac:dyDescent="0.25">
      <c r="A220" s="4">
        <v>131072</v>
      </c>
      <c r="B220" s="4">
        <v>8</v>
      </c>
      <c r="C220" s="4">
        <v>131080</v>
      </c>
      <c r="D220" s="5">
        <v>6.25E-2</v>
      </c>
      <c r="E220" s="5">
        <v>3.125E-2</v>
      </c>
      <c r="F220" s="4">
        <v>30</v>
      </c>
      <c r="G220" s="4">
        <v>65536</v>
      </c>
    </row>
    <row r="221" spans="1:7" x14ac:dyDescent="0.25">
      <c r="A221" s="4">
        <v>131072</v>
      </c>
      <c r="B221" s="4">
        <v>9</v>
      </c>
      <c r="C221" s="4">
        <v>131081</v>
      </c>
      <c r="D221" s="5">
        <v>4.6875E-2</v>
      </c>
      <c r="E221" s="5">
        <v>6.25E-2</v>
      </c>
      <c r="F221" s="4">
        <v>30</v>
      </c>
      <c r="G221" s="4">
        <v>65536</v>
      </c>
    </row>
    <row r="222" spans="1:7" x14ac:dyDescent="0.25">
      <c r="A222" s="4">
        <v>131072</v>
      </c>
      <c r="B222" s="4">
        <v>10</v>
      </c>
      <c r="C222" s="4">
        <v>131082</v>
      </c>
      <c r="D222" s="5">
        <v>4.6875E-2</v>
      </c>
      <c r="E222" s="5">
        <v>4.6875E-2</v>
      </c>
      <c r="F222" s="4">
        <v>30</v>
      </c>
      <c r="G222" s="4">
        <v>65536</v>
      </c>
    </row>
    <row r="223" spans="1:7" x14ac:dyDescent="0.25">
      <c r="A223" s="4">
        <v>131072</v>
      </c>
      <c r="B223" s="4">
        <v>11</v>
      </c>
      <c r="C223" s="4">
        <v>131083</v>
      </c>
      <c r="D223" s="5">
        <v>3.125E-2</v>
      </c>
      <c r="E223" s="5">
        <v>4.6875E-2</v>
      </c>
      <c r="F223" s="4">
        <v>30</v>
      </c>
      <c r="G223" s="4">
        <v>65536</v>
      </c>
    </row>
    <row r="224" spans="1:7" x14ac:dyDescent="0.25">
      <c r="A224" s="4">
        <v>131072</v>
      </c>
      <c r="B224" s="4">
        <v>12</v>
      </c>
      <c r="C224" s="4">
        <v>131084</v>
      </c>
      <c r="D224" s="5">
        <v>4.6875E-2</v>
      </c>
      <c r="E224" s="5">
        <v>3.125E-2</v>
      </c>
      <c r="F224" s="4">
        <v>30</v>
      </c>
      <c r="G224" s="4">
        <v>65536</v>
      </c>
    </row>
    <row r="225" spans="1:7" x14ac:dyDescent="0.25">
      <c r="A225" s="4">
        <v>131072</v>
      </c>
      <c r="B225" s="4">
        <v>13</v>
      </c>
      <c r="C225" s="4">
        <v>131085</v>
      </c>
      <c r="D225" s="5">
        <v>4.6875E-2</v>
      </c>
      <c r="E225" s="5">
        <v>3.125E-2</v>
      </c>
      <c r="F225" s="4">
        <v>30</v>
      </c>
      <c r="G225" s="4">
        <v>65536</v>
      </c>
    </row>
    <row r="226" spans="1:7" x14ac:dyDescent="0.25">
      <c r="A226" s="4">
        <v>131072</v>
      </c>
      <c r="B226" s="4">
        <v>14</v>
      </c>
      <c r="C226" s="4">
        <v>131086</v>
      </c>
      <c r="D226" s="5">
        <v>4.6875E-2</v>
      </c>
      <c r="E226" s="5">
        <v>4.6875E-2</v>
      </c>
      <c r="F226" s="4">
        <v>30</v>
      </c>
      <c r="G226" s="4">
        <v>65536</v>
      </c>
    </row>
    <row r="227" spans="1:7" x14ac:dyDescent="0.25">
      <c r="A227" s="4">
        <v>131072</v>
      </c>
      <c r="B227" s="4">
        <v>15</v>
      </c>
      <c r="C227" s="4">
        <v>131087</v>
      </c>
      <c r="D227" s="5">
        <v>4.6875E-2</v>
      </c>
      <c r="E227" s="5">
        <v>3.125E-2</v>
      </c>
      <c r="F227" s="4">
        <v>30</v>
      </c>
      <c r="G227" s="4">
        <v>65536</v>
      </c>
    </row>
    <row r="228" spans="1:7" x14ac:dyDescent="0.25">
      <c r="A228" s="4">
        <v>131072</v>
      </c>
      <c r="B228" s="4">
        <v>16</v>
      </c>
      <c r="C228" s="4">
        <v>131088</v>
      </c>
      <c r="D228" s="5">
        <v>3.125E-2</v>
      </c>
      <c r="E228" s="5">
        <v>4.6875E-2</v>
      </c>
      <c r="F228" s="4">
        <v>30</v>
      </c>
      <c r="G228" s="4">
        <v>65536</v>
      </c>
    </row>
    <row r="229" spans="1:7" x14ac:dyDescent="0.25">
      <c r="A229" s="4">
        <v>131072</v>
      </c>
      <c r="B229" s="4">
        <v>17</v>
      </c>
      <c r="C229" s="4">
        <v>131089</v>
      </c>
      <c r="D229" s="5">
        <v>4.6875E-2</v>
      </c>
      <c r="E229" s="5">
        <v>3.125E-2</v>
      </c>
      <c r="F229" s="4">
        <v>30</v>
      </c>
      <c r="G229" s="4">
        <v>65536</v>
      </c>
    </row>
    <row r="230" spans="1:7" x14ac:dyDescent="0.25">
      <c r="A230" s="4">
        <v>131072</v>
      </c>
      <c r="B230" s="4">
        <v>18</v>
      </c>
      <c r="C230" s="4">
        <v>131090</v>
      </c>
      <c r="D230" s="5">
        <v>3.125E-2</v>
      </c>
      <c r="E230" s="5">
        <v>3.125E-2</v>
      </c>
      <c r="F230" s="4">
        <v>30</v>
      </c>
      <c r="G230" s="4">
        <v>65536</v>
      </c>
    </row>
    <row r="231" spans="1:7" x14ac:dyDescent="0.25">
      <c r="A231" s="4">
        <v>131072</v>
      </c>
      <c r="B231" s="4">
        <v>19</v>
      </c>
      <c r="C231" s="4">
        <v>131091</v>
      </c>
      <c r="D231" s="5">
        <v>3.125E-2</v>
      </c>
      <c r="E231" s="5">
        <v>4.6875E-2</v>
      </c>
      <c r="F231" s="4">
        <v>30</v>
      </c>
      <c r="G231" s="4">
        <v>65536</v>
      </c>
    </row>
    <row r="232" spans="1:7" x14ac:dyDescent="0.25">
      <c r="A232" s="4">
        <v>131072</v>
      </c>
      <c r="B232" s="4">
        <v>20</v>
      </c>
      <c r="C232" s="4">
        <v>131092</v>
      </c>
      <c r="D232" s="5">
        <v>3.125E-2</v>
      </c>
      <c r="E232" s="5">
        <v>4.6875E-2</v>
      </c>
      <c r="F232" s="4">
        <v>30</v>
      </c>
      <c r="G232" s="4">
        <v>65536</v>
      </c>
    </row>
    <row r="233" spans="1:7" x14ac:dyDescent="0.25">
      <c r="A233" s="4">
        <v>131072</v>
      </c>
      <c r="B233" s="4">
        <v>21</v>
      </c>
      <c r="C233" s="4">
        <v>131093</v>
      </c>
      <c r="D233" s="5">
        <v>4.6875E-2</v>
      </c>
      <c r="E233" s="5">
        <v>3.125E-2</v>
      </c>
      <c r="F233" s="4">
        <v>30</v>
      </c>
      <c r="G233" s="4">
        <v>65536</v>
      </c>
    </row>
    <row r="234" spans="1:7" x14ac:dyDescent="0.25">
      <c r="A234" s="4">
        <v>131072</v>
      </c>
      <c r="B234" s="4">
        <v>22</v>
      </c>
      <c r="C234" s="4">
        <v>131094</v>
      </c>
      <c r="D234" s="5">
        <v>3.125E-2</v>
      </c>
      <c r="E234" s="5">
        <v>1.5625E-2</v>
      </c>
      <c r="F234" s="4">
        <v>30</v>
      </c>
      <c r="G234" s="4">
        <v>65536</v>
      </c>
    </row>
    <row r="235" spans="1:7" x14ac:dyDescent="0.25">
      <c r="A235" s="4">
        <v>131072</v>
      </c>
      <c r="B235" s="4">
        <v>23</v>
      </c>
      <c r="C235" s="4">
        <v>131095</v>
      </c>
      <c r="D235" s="5">
        <v>3.125E-2</v>
      </c>
      <c r="E235" s="5">
        <v>4.6875E-2</v>
      </c>
      <c r="F235" s="4">
        <v>30</v>
      </c>
      <c r="G235" s="4">
        <v>65536</v>
      </c>
    </row>
    <row r="236" spans="1:7" x14ac:dyDescent="0.25">
      <c r="A236" s="4">
        <v>131072</v>
      </c>
      <c r="B236" s="4">
        <v>24</v>
      </c>
      <c r="C236" s="4">
        <v>131096</v>
      </c>
      <c r="D236" s="5">
        <v>4.6875E-2</v>
      </c>
      <c r="E236" s="5">
        <v>3.125E-2</v>
      </c>
      <c r="F236" s="4">
        <v>30</v>
      </c>
      <c r="G236" s="4">
        <v>65536</v>
      </c>
    </row>
    <row r="237" spans="1:7" x14ac:dyDescent="0.25">
      <c r="A237" s="4">
        <v>131072</v>
      </c>
      <c r="B237" s="4">
        <v>25</v>
      </c>
      <c r="C237" s="4">
        <v>131097</v>
      </c>
      <c r="D237" s="5">
        <v>4.6875E-2</v>
      </c>
      <c r="E237" s="5">
        <v>4.6875E-2</v>
      </c>
      <c r="F237" s="4">
        <v>30</v>
      </c>
      <c r="G237" s="4">
        <v>65536</v>
      </c>
    </row>
    <row r="238" spans="1:7" x14ac:dyDescent="0.25">
      <c r="A238" s="4">
        <v>131072</v>
      </c>
      <c r="B238" s="4">
        <v>26</v>
      </c>
      <c r="C238" s="4">
        <v>131098</v>
      </c>
      <c r="D238" s="5">
        <v>4.6875E-2</v>
      </c>
      <c r="E238" s="5">
        <v>3.125E-2</v>
      </c>
      <c r="F238" s="4">
        <v>30</v>
      </c>
      <c r="G238" s="4">
        <v>65536</v>
      </c>
    </row>
    <row r="239" spans="1:7" x14ac:dyDescent="0.25">
      <c r="A239" s="4">
        <v>131072</v>
      </c>
      <c r="B239" s="4">
        <v>27</v>
      </c>
      <c r="C239" s="4">
        <v>131099</v>
      </c>
      <c r="D239" s="5">
        <v>3.125E-2</v>
      </c>
      <c r="E239" s="5">
        <v>4.6875E-2</v>
      </c>
      <c r="F239" s="4">
        <v>30</v>
      </c>
      <c r="G239" s="4">
        <v>65536</v>
      </c>
    </row>
    <row r="240" spans="1:7" x14ac:dyDescent="0.25">
      <c r="A240" s="4">
        <v>131072</v>
      </c>
      <c r="B240" s="4">
        <v>28</v>
      </c>
      <c r="C240" s="4">
        <v>131100</v>
      </c>
      <c r="D240" s="5">
        <v>4.6875E-2</v>
      </c>
      <c r="E240" s="5">
        <v>3.125E-2</v>
      </c>
      <c r="F240" s="4">
        <v>30</v>
      </c>
      <c r="G240" s="4">
        <v>65536</v>
      </c>
    </row>
    <row r="241" spans="1:7" x14ac:dyDescent="0.25">
      <c r="A241" s="4">
        <v>131072</v>
      </c>
      <c r="B241" s="4">
        <v>29</v>
      </c>
      <c r="C241" s="4">
        <v>131101</v>
      </c>
      <c r="D241" s="5">
        <v>4.6875E-2</v>
      </c>
      <c r="E241" s="5">
        <v>3.125E-2</v>
      </c>
      <c r="F241" s="4">
        <v>30</v>
      </c>
      <c r="G241" s="4">
        <v>65536</v>
      </c>
    </row>
    <row r="242" spans="1:7" x14ac:dyDescent="0.25">
      <c r="A242" s="4">
        <v>262144</v>
      </c>
      <c r="B242" s="4">
        <v>0</v>
      </c>
      <c r="C242" s="4">
        <v>262144</v>
      </c>
      <c r="D242" s="5">
        <v>0.109375</v>
      </c>
      <c r="E242" s="5">
        <v>7.8125E-2</v>
      </c>
      <c r="F242" s="4">
        <v>32</v>
      </c>
      <c r="G242" s="4">
        <v>131072</v>
      </c>
    </row>
    <row r="243" spans="1:7" x14ac:dyDescent="0.25">
      <c r="A243" s="4">
        <v>262144</v>
      </c>
      <c r="B243" s="4">
        <v>1</v>
      </c>
      <c r="C243" s="4">
        <v>262145</v>
      </c>
      <c r="D243" s="5">
        <v>9.375E-2</v>
      </c>
      <c r="E243" s="5">
        <v>7.8125E-2</v>
      </c>
      <c r="F243" s="4">
        <v>32</v>
      </c>
      <c r="G243" s="4">
        <v>131072</v>
      </c>
    </row>
    <row r="244" spans="1:7" x14ac:dyDescent="0.25">
      <c r="A244" s="4">
        <v>262144</v>
      </c>
      <c r="B244" s="4">
        <v>2</v>
      </c>
      <c r="C244" s="4">
        <v>262146</v>
      </c>
      <c r="D244" s="5">
        <v>7.8125E-2</v>
      </c>
      <c r="E244" s="5">
        <v>0.109375</v>
      </c>
      <c r="F244" s="4">
        <v>32</v>
      </c>
      <c r="G244" s="4">
        <v>131072</v>
      </c>
    </row>
    <row r="245" spans="1:7" x14ac:dyDescent="0.25">
      <c r="A245" s="4">
        <v>262144</v>
      </c>
      <c r="B245" s="4">
        <v>3</v>
      </c>
      <c r="C245" s="4">
        <v>262147</v>
      </c>
      <c r="D245" s="5">
        <v>7.8125E-2</v>
      </c>
      <c r="E245" s="5">
        <v>9.375E-2</v>
      </c>
      <c r="F245" s="4">
        <v>32</v>
      </c>
      <c r="G245" s="4">
        <v>131072</v>
      </c>
    </row>
    <row r="246" spans="1:7" x14ac:dyDescent="0.25">
      <c r="A246" s="4">
        <v>262144</v>
      </c>
      <c r="B246" s="4">
        <v>4</v>
      </c>
      <c r="C246" s="4">
        <v>262148</v>
      </c>
      <c r="D246" s="5">
        <v>9.375E-2</v>
      </c>
      <c r="E246" s="5">
        <v>7.8125E-2</v>
      </c>
      <c r="F246" s="4">
        <v>32</v>
      </c>
      <c r="G246" s="4">
        <v>131072</v>
      </c>
    </row>
    <row r="247" spans="1:7" x14ac:dyDescent="0.25">
      <c r="A247" s="4">
        <v>262144</v>
      </c>
      <c r="B247" s="4">
        <v>5</v>
      </c>
      <c r="C247" s="4">
        <v>262149</v>
      </c>
      <c r="D247" s="5">
        <v>9.375E-2</v>
      </c>
      <c r="E247" s="5">
        <v>9.375E-2</v>
      </c>
      <c r="F247" s="4">
        <v>32</v>
      </c>
      <c r="G247" s="4">
        <v>131072</v>
      </c>
    </row>
    <row r="248" spans="1:7" x14ac:dyDescent="0.25">
      <c r="A248" s="4">
        <v>262144</v>
      </c>
      <c r="B248" s="4">
        <v>6</v>
      </c>
      <c r="C248" s="4">
        <v>262150</v>
      </c>
      <c r="D248" s="5">
        <v>9.375E-2</v>
      </c>
      <c r="E248" s="5">
        <v>7.8125E-2</v>
      </c>
      <c r="F248" s="4">
        <v>32</v>
      </c>
      <c r="G248" s="4">
        <v>131072</v>
      </c>
    </row>
    <row r="249" spans="1:7" x14ac:dyDescent="0.25">
      <c r="A249" s="4">
        <v>262144</v>
      </c>
      <c r="B249" s="4">
        <v>7</v>
      </c>
      <c r="C249" s="4">
        <v>262151</v>
      </c>
      <c r="D249" s="5">
        <v>7.8125E-2</v>
      </c>
      <c r="E249" s="5">
        <v>9.375E-2</v>
      </c>
      <c r="F249" s="4">
        <v>32</v>
      </c>
      <c r="G249" s="4">
        <v>131072</v>
      </c>
    </row>
    <row r="250" spans="1:7" x14ac:dyDescent="0.25">
      <c r="A250" s="4">
        <v>262144</v>
      </c>
      <c r="B250" s="4">
        <v>8</v>
      </c>
      <c r="C250" s="4">
        <v>262152</v>
      </c>
      <c r="D250" s="5">
        <v>0.109375</v>
      </c>
      <c r="E250" s="5">
        <v>7.8125E-2</v>
      </c>
      <c r="F250" s="4">
        <v>32</v>
      </c>
      <c r="G250" s="4">
        <v>131072</v>
      </c>
    </row>
    <row r="251" spans="1:7" x14ac:dyDescent="0.25">
      <c r="A251" s="4">
        <v>262144</v>
      </c>
      <c r="B251" s="4">
        <v>9</v>
      </c>
      <c r="C251" s="4">
        <v>262153</v>
      </c>
      <c r="D251" s="5">
        <v>0.109375</v>
      </c>
      <c r="E251" s="5">
        <v>0.125</v>
      </c>
      <c r="F251" s="4">
        <v>32</v>
      </c>
      <c r="G251" s="4">
        <v>131072</v>
      </c>
    </row>
    <row r="252" spans="1:7" x14ac:dyDescent="0.25">
      <c r="A252" s="4">
        <v>262144</v>
      </c>
      <c r="B252" s="4">
        <v>10</v>
      </c>
      <c r="C252" s="4">
        <v>262154</v>
      </c>
      <c r="D252" s="5">
        <v>7.8125E-2</v>
      </c>
      <c r="E252" s="5">
        <v>9.375E-2</v>
      </c>
      <c r="F252" s="4">
        <v>32</v>
      </c>
      <c r="G252" s="4">
        <v>131072</v>
      </c>
    </row>
    <row r="253" spans="1:7" x14ac:dyDescent="0.25">
      <c r="A253" s="4">
        <v>262144</v>
      </c>
      <c r="B253" s="4">
        <v>11</v>
      </c>
      <c r="C253" s="4">
        <v>262155</v>
      </c>
      <c r="D253" s="5">
        <v>9.375E-2</v>
      </c>
      <c r="E253" s="5">
        <v>9.375E-2</v>
      </c>
      <c r="F253" s="4">
        <v>32</v>
      </c>
      <c r="G253" s="4">
        <v>131072</v>
      </c>
    </row>
    <row r="254" spans="1:7" x14ac:dyDescent="0.25">
      <c r="A254" s="4">
        <v>262144</v>
      </c>
      <c r="B254" s="4">
        <v>12</v>
      </c>
      <c r="C254" s="4">
        <v>262156</v>
      </c>
      <c r="D254" s="5">
        <v>7.8125E-2</v>
      </c>
      <c r="E254" s="5">
        <v>6.25E-2</v>
      </c>
      <c r="F254" s="4">
        <v>32</v>
      </c>
      <c r="G254" s="4">
        <v>131072</v>
      </c>
    </row>
    <row r="255" spans="1:7" x14ac:dyDescent="0.25">
      <c r="A255" s="4">
        <v>262144</v>
      </c>
      <c r="B255" s="4">
        <v>13</v>
      </c>
      <c r="C255" s="4">
        <v>262157</v>
      </c>
      <c r="D255" s="5">
        <v>0.109375</v>
      </c>
      <c r="E255" s="5">
        <v>0.109375</v>
      </c>
      <c r="F255" s="4">
        <v>32</v>
      </c>
      <c r="G255" s="4">
        <v>131072</v>
      </c>
    </row>
    <row r="256" spans="1:7" x14ac:dyDescent="0.25">
      <c r="A256" s="4">
        <v>262144</v>
      </c>
      <c r="B256" s="4">
        <v>14</v>
      </c>
      <c r="C256" s="4">
        <v>262158</v>
      </c>
      <c r="D256" s="5">
        <v>7.8125E-2</v>
      </c>
      <c r="E256" s="5">
        <v>9.375E-2</v>
      </c>
      <c r="F256" s="4">
        <v>32</v>
      </c>
      <c r="G256" s="4">
        <v>131072</v>
      </c>
    </row>
    <row r="257" spans="1:7" x14ac:dyDescent="0.25">
      <c r="A257" s="4">
        <v>262144</v>
      </c>
      <c r="B257" s="4">
        <v>15</v>
      </c>
      <c r="C257" s="4">
        <v>262159</v>
      </c>
      <c r="D257" s="5">
        <v>7.8125E-2</v>
      </c>
      <c r="E257" s="5">
        <v>7.8125E-2</v>
      </c>
      <c r="F257" s="4">
        <v>32</v>
      </c>
      <c r="G257" s="4">
        <v>131072</v>
      </c>
    </row>
    <row r="258" spans="1:7" x14ac:dyDescent="0.25">
      <c r="A258" s="4">
        <v>262144</v>
      </c>
      <c r="B258" s="4">
        <v>16</v>
      </c>
      <c r="C258" s="4">
        <v>262160</v>
      </c>
      <c r="D258" s="5">
        <v>7.8125E-2</v>
      </c>
      <c r="E258" s="5">
        <v>6.25E-2</v>
      </c>
      <c r="F258" s="4">
        <v>32</v>
      </c>
      <c r="G258" s="4">
        <v>131072</v>
      </c>
    </row>
    <row r="259" spans="1:7" x14ac:dyDescent="0.25">
      <c r="A259" s="4">
        <v>262144</v>
      </c>
      <c r="B259" s="4">
        <v>17</v>
      </c>
      <c r="C259" s="4">
        <v>262161</v>
      </c>
      <c r="D259" s="5">
        <v>9.375E-2</v>
      </c>
      <c r="E259" s="5">
        <v>7.8125E-2</v>
      </c>
      <c r="F259" s="4">
        <v>32</v>
      </c>
      <c r="G259" s="4">
        <v>131072</v>
      </c>
    </row>
    <row r="260" spans="1:7" x14ac:dyDescent="0.25">
      <c r="A260" s="4">
        <v>262144</v>
      </c>
      <c r="B260" s="4">
        <v>18</v>
      </c>
      <c r="C260" s="4">
        <v>262162</v>
      </c>
      <c r="D260" s="5">
        <v>6.25E-2</v>
      </c>
      <c r="E260" s="5">
        <v>9.375E-2</v>
      </c>
      <c r="F260" s="4">
        <v>32</v>
      </c>
      <c r="G260" s="4">
        <v>131072</v>
      </c>
    </row>
    <row r="261" spans="1:7" x14ac:dyDescent="0.25">
      <c r="A261" s="4">
        <v>262144</v>
      </c>
      <c r="B261" s="4">
        <v>19</v>
      </c>
      <c r="C261" s="4">
        <v>262163</v>
      </c>
      <c r="D261" s="5">
        <v>9.375E-2</v>
      </c>
      <c r="E261" s="5">
        <v>9.375E-2</v>
      </c>
      <c r="F261" s="4">
        <v>32</v>
      </c>
      <c r="G261" s="4">
        <v>131072</v>
      </c>
    </row>
    <row r="262" spans="1:7" x14ac:dyDescent="0.25">
      <c r="A262" s="4">
        <v>262144</v>
      </c>
      <c r="B262" s="4">
        <v>20</v>
      </c>
      <c r="C262" s="4">
        <v>262164</v>
      </c>
      <c r="D262" s="5">
        <v>6.25E-2</v>
      </c>
      <c r="E262" s="5">
        <v>6.25E-2</v>
      </c>
      <c r="F262" s="4">
        <v>32</v>
      </c>
      <c r="G262" s="4">
        <v>131072</v>
      </c>
    </row>
    <row r="263" spans="1:7" x14ac:dyDescent="0.25">
      <c r="A263" s="4">
        <v>262144</v>
      </c>
      <c r="B263" s="4">
        <v>21</v>
      </c>
      <c r="C263" s="4">
        <v>262165</v>
      </c>
      <c r="D263" s="5">
        <v>9.375E-2</v>
      </c>
      <c r="E263" s="5">
        <v>9.375E-2</v>
      </c>
      <c r="F263" s="4">
        <v>32</v>
      </c>
      <c r="G263" s="4">
        <v>131072</v>
      </c>
    </row>
    <row r="264" spans="1:7" x14ac:dyDescent="0.25">
      <c r="A264" s="4">
        <v>262144</v>
      </c>
      <c r="B264" s="4">
        <v>22</v>
      </c>
      <c r="C264" s="4">
        <v>262166</v>
      </c>
      <c r="D264" s="5">
        <v>7.8125E-2</v>
      </c>
      <c r="E264" s="5">
        <v>9.375E-2</v>
      </c>
      <c r="F264" s="4">
        <v>32</v>
      </c>
      <c r="G264" s="4">
        <v>131072</v>
      </c>
    </row>
    <row r="265" spans="1:7" x14ac:dyDescent="0.25">
      <c r="A265" s="4">
        <v>262144</v>
      </c>
      <c r="B265" s="4">
        <v>23</v>
      </c>
      <c r="C265" s="4">
        <v>262167</v>
      </c>
      <c r="D265" s="5">
        <v>6.25E-2</v>
      </c>
      <c r="E265" s="5">
        <v>6.25E-2</v>
      </c>
      <c r="F265" s="4">
        <v>32</v>
      </c>
      <c r="G265" s="4">
        <v>131072</v>
      </c>
    </row>
    <row r="266" spans="1:7" x14ac:dyDescent="0.25">
      <c r="A266" s="4">
        <v>262144</v>
      </c>
      <c r="B266" s="4">
        <v>24</v>
      </c>
      <c r="C266" s="4">
        <v>262168</v>
      </c>
      <c r="D266" s="5">
        <v>9.375E-2</v>
      </c>
      <c r="E266" s="5">
        <v>7.8125E-2</v>
      </c>
      <c r="F266" s="4">
        <v>32</v>
      </c>
      <c r="G266" s="4">
        <v>131072</v>
      </c>
    </row>
    <row r="267" spans="1:7" x14ac:dyDescent="0.25">
      <c r="A267" s="4">
        <v>262144</v>
      </c>
      <c r="B267" s="4">
        <v>25</v>
      </c>
      <c r="C267" s="4">
        <v>262169</v>
      </c>
      <c r="D267" s="5">
        <v>9.375E-2</v>
      </c>
      <c r="E267" s="5">
        <v>0.109375</v>
      </c>
      <c r="F267" s="4">
        <v>32</v>
      </c>
      <c r="G267" s="4">
        <v>131072</v>
      </c>
    </row>
    <row r="268" spans="1:7" x14ac:dyDescent="0.25">
      <c r="A268" s="4">
        <v>262144</v>
      </c>
      <c r="B268" s="4">
        <v>26</v>
      </c>
      <c r="C268" s="4">
        <v>262170</v>
      </c>
      <c r="D268" s="5">
        <v>0.109375</v>
      </c>
      <c r="E268" s="5">
        <v>7.8125E-2</v>
      </c>
      <c r="F268" s="4">
        <v>32</v>
      </c>
      <c r="G268" s="4">
        <v>131072</v>
      </c>
    </row>
    <row r="269" spans="1:7" x14ac:dyDescent="0.25">
      <c r="A269" s="4">
        <v>262144</v>
      </c>
      <c r="B269" s="4">
        <v>27</v>
      </c>
      <c r="C269" s="4">
        <v>262171</v>
      </c>
      <c r="D269" s="5">
        <v>0.109375</v>
      </c>
      <c r="E269" s="5">
        <v>7.8125E-2</v>
      </c>
      <c r="F269" s="4">
        <v>32</v>
      </c>
      <c r="G269" s="4">
        <v>131072</v>
      </c>
    </row>
    <row r="270" spans="1:7" x14ac:dyDescent="0.25">
      <c r="A270" s="4">
        <v>262144</v>
      </c>
      <c r="B270" s="4">
        <v>28</v>
      </c>
      <c r="C270" s="4">
        <v>262172</v>
      </c>
      <c r="D270" s="5">
        <v>0.109375</v>
      </c>
      <c r="E270" s="5">
        <v>9.375E-2</v>
      </c>
      <c r="F270" s="4">
        <v>32</v>
      </c>
      <c r="G270" s="4">
        <v>131072</v>
      </c>
    </row>
    <row r="271" spans="1:7" x14ac:dyDescent="0.25">
      <c r="A271" s="4">
        <v>262144</v>
      </c>
      <c r="B271" s="4">
        <v>29</v>
      </c>
      <c r="C271" s="4">
        <v>262173</v>
      </c>
      <c r="D271" s="5">
        <v>6.25E-2</v>
      </c>
      <c r="E271" s="5">
        <v>7.8125E-2</v>
      </c>
      <c r="F271" s="4">
        <v>32</v>
      </c>
      <c r="G271" s="4">
        <v>131072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5"/>
  <sheetViews>
    <sheetView workbookViewId="0"/>
  </sheetViews>
  <sheetFormatPr baseColWidth="10" defaultColWidth="9.140625" defaultRowHeight="15" x14ac:dyDescent="0.25"/>
  <cols>
    <col min="1" max="1" width="12" customWidth="1"/>
    <col min="2" max="7" width="17" customWidth="1"/>
    <col min="8" max="8" width="4" customWidth="1"/>
    <col min="9" max="12" width="16" customWidth="1"/>
  </cols>
  <sheetData>
    <row r="1" spans="1:12" ht="18" x14ac:dyDescent="0.25">
      <c r="A1" s="10" t="s">
        <v>24</v>
      </c>
    </row>
    <row r="2" spans="1:12" x14ac:dyDescent="0.25">
      <c r="A2" s="9" t="s">
        <v>22</v>
      </c>
    </row>
    <row r="3" spans="1:12" x14ac:dyDescent="0.25">
      <c r="I3" s="9" t="s">
        <v>25</v>
      </c>
    </row>
    <row r="4" spans="1:12" ht="30" customHeight="1" x14ac:dyDescent="0.25">
      <c r="A4" s="2" t="s">
        <v>0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</row>
    <row r="5" spans="1:12" x14ac:dyDescent="0.25">
      <c r="A5" s="11">
        <f>Pila!H2</f>
        <v>1024</v>
      </c>
      <c r="B5" s="6">
        <f>Pila!K2</f>
        <v>5.2083333333333333E-4</v>
      </c>
      <c r="C5" s="6">
        <f>Pila!R2</f>
        <v>1.0416666666666667E-3</v>
      </c>
      <c r="D5" s="7">
        <f t="shared" ref="D5:D13" si="0">IF(B5&gt;0,C5/B5,"n/d")</f>
        <v>2</v>
      </c>
      <c r="E5" s="6">
        <f>Fila!L2</f>
        <v>5.2083333333333333E-4</v>
      </c>
      <c r="F5" s="6">
        <f>Fila!S2</f>
        <v>1.0416666666666667E-3</v>
      </c>
      <c r="G5" s="7">
        <f t="shared" ref="G5:G13" si="1">IF(E5&gt;0,F5/E5,"n/d")</f>
        <v>2</v>
      </c>
      <c r="I5" s="5">
        <f t="shared" ref="I5:I13" si="2">IF(B5&gt;0,B5,NA())</f>
        <v>5.2083333333333333E-4</v>
      </c>
      <c r="J5" s="5">
        <f t="shared" ref="J5:J13" si="3">IF(C5&gt;0,C5,NA())</f>
        <v>1.0416666666666667E-3</v>
      </c>
      <c r="K5" s="5">
        <f t="shared" ref="K5:K13" si="4">IF(E5&gt;0,E5,NA())</f>
        <v>5.2083333333333333E-4</v>
      </c>
      <c r="L5" s="5">
        <f t="shared" ref="L5:L13" si="5">IF(F5&gt;0,F5,NA())</f>
        <v>1.0416666666666667E-3</v>
      </c>
    </row>
    <row r="6" spans="1:12" x14ac:dyDescent="0.25">
      <c r="A6" s="11">
        <f>Pila!H3</f>
        <v>2048</v>
      </c>
      <c r="B6" s="6">
        <f>Pila!K3</f>
        <v>1.5625000000000001E-3</v>
      </c>
      <c r="C6" s="6">
        <f>Pila!R3</f>
        <v>5.2083333333333333E-4</v>
      </c>
      <c r="D6" s="7">
        <f t="shared" si="0"/>
        <v>0.33333333333333331</v>
      </c>
      <c r="E6" s="6">
        <f>Fila!L3</f>
        <v>1.5625000000000001E-3</v>
      </c>
      <c r="F6" s="6">
        <f>Fila!S3</f>
        <v>0</v>
      </c>
      <c r="G6" s="7">
        <f t="shared" si="1"/>
        <v>0</v>
      </c>
      <c r="I6" s="5">
        <f t="shared" si="2"/>
        <v>1.5625000000000001E-3</v>
      </c>
      <c r="J6" s="5">
        <f t="shared" si="3"/>
        <v>5.2083333333333333E-4</v>
      </c>
      <c r="K6" s="5">
        <f t="shared" si="4"/>
        <v>1.5625000000000001E-3</v>
      </c>
      <c r="L6" s="5" t="e">
        <f t="shared" si="5"/>
        <v>#N/A</v>
      </c>
    </row>
    <row r="7" spans="1:12" x14ac:dyDescent="0.25">
      <c r="A7" s="11">
        <f>Pila!H4</f>
        <v>4096</v>
      </c>
      <c r="B7" s="6">
        <f>Pila!K4</f>
        <v>0</v>
      </c>
      <c r="C7" s="6">
        <f>Pila!R4</f>
        <v>4.1666666666666666E-3</v>
      </c>
      <c r="D7" s="7" t="str">
        <f t="shared" si="0"/>
        <v>n/d</v>
      </c>
      <c r="E7" s="6">
        <f>Fila!L4</f>
        <v>1.0416666666666667E-3</v>
      </c>
      <c r="F7" s="6">
        <f>Fila!S4</f>
        <v>2.0833333333333333E-3</v>
      </c>
      <c r="G7" s="7">
        <f t="shared" si="1"/>
        <v>2</v>
      </c>
      <c r="I7" s="5" t="e">
        <f t="shared" si="2"/>
        <v>#N/A</v>
      </c>
      <c r="J7" s="5">
        <f t="shared" si="3"/>
        <v>4.1666666666666666E-3</v>
      </c>
      <c r="K7" s="5">
        <f t="shared" si="4"/>
        <v>1.0416666666666667E-3</v>
      </c>
      <c r="L7" s="5">
        <f t="shared" si="5"/>
        <v>2.0833333333333333E-3</v>
      </c>
    </row>
    <row r="8" spans="1:12" x14ac:dyDescent="0.25">
      <c r="A8" s="11">
        <f>Pila!H5</f>
        <v>8192</v>
      </c>
      <c r="B8" s="6">
        <f>Pila!K5</f>
        <v>2.0833333333333333E-3</v>
      </c>
      <c r="C8" s="6">
        <f>Pila!R5</f>
        <v>1.0416666666666667E-3</v>
      </c>
      <c r="D8" s="7">
        <f t="shared" si="0"/>
        <v>0.5</v>
      </c>
      <c r="E8" s="6">
        <f>Fila!L5</f>
        <v>2.6041666666666665E-3</v>
      </c>
      <c r="F8" s="6">
        <f>Fila!S5</f>
        <v>2.0833333333333333E-3</v>
      </c>
      <c r="G8" s="7">
        <f t="shared" si="1"/>
        <v>0.8</v>
      </c>
      <c r="I8" s="5">
        <f t="shared" si="2"/>
        <v>2.0833333333333333E-3</v>
      </c>
      <c r="J8" s="5">
        <f t="shared" si="3"/>
        <v>1.0416666666666667E-3</v>
      </c>
      <c r="K8" s="5">
        <f t="shared" si="4"/>
        <v>2.6041666666666665E-3</v>
      </c>
      <c r="L8" s="5">
        <f t="shared" si="5"/>
        <v>2.0833333333333333E-3</v>
      </c>
    </row>
    <row r="9" spans="1:12" x14ac:dyDescent="0.25">
      <c r="A9" s="11">
        <f>Pila!H6</f>
        <v>16384</v>
      </c>
      <c r="B9" s="6">
        <f>Pila!K6</f>
        <v>2.0833333333333333E-3</v>
      </c>
      <c r="C9" s="6">
        <f>Pila!R6</f>
        <v>3.6458333333333334E-3</v>
      </c>
      <c r="D9" s="7">
        <f t="shared" si="0"/>
        <v>1.75</v>
      </c>
      <c r="E9" s="6">
        <f>Fila!L6</f>
        <v>5.208333333333333E-3</v>
      </c>
      <c r="F9" s="6">
        <f>Fila!S6</f>
        <v>5.208333333333333E-3</v>
      </c>
      <c r="G9" s="7">
        <f t="shared" si="1"/>
        <v>1</v>
      </c>
      <c r="I9" s="5">
        <f t="shared" si="2"/>
        <v>2.0833333333333333E-3</v>
      </c>
      <c r="J9" s="5">
        <f t="shared" si="3"/>
        <v>3.6458333333333334E-3</v>
      </c>
      <c r="K9" s="5">
        <f t="shared" si="4"/>
        <v>5.208333333333333E-3</v>
      </c>
      <c r="L9" s="5">
        <f t="shared" si="5"/>
        <v>5.208333333333333E-3</v>
      </c>
    </row>
    <row r="10" spans="1:12" x14ac:dyDescent="0.25">
      <c r="A10" s="11">
        <f>Pila!H7</f>
        <v>32768</v>
      </c>
      <c r="B10" s="6">
        <f>Pila!K7</f>
        <v>7.2916666666666668E-3</v>
      </c>
      <c r="C10" s="6">
        <f>Pila!R7</f>
        <v>4.6874999999999998E-3</v>
      </c>
      <c r="D10" s="7">
        <f t="shared" si="0"/>
        <v>0.64285714285714279</v>
      </c>
      <c r="E10" s="6">
        <f>Fila!L7</f>
        <v>9.3749999999999997E-3</v>
      </c>
      <c r="F10" s="6">
        <f>Fila!S7</f>
        <v>8.8541666666666664E-3</v>
      </c>
      <c r="G10" s="7">
        <f t="shared" si="1"/>
        <v>0.94444444444444442</v>
      </c>
      <c r="I10" s="5">
        <f t="shared" si="2"/>
        <v>7.2916666666666668E-3</v>
      </c>
      <c r="J10" s="5">
        <f t="shared" si="3"/>
        <v>4.6874999999999998E-3</v>
      </c>
      <c r="K10" s="5">
        <f t="shared" si="4"/>
        <v>9.3749999999999997E-3</v>
      </c>
      <c r="L10" s="5">
        <f t="shared" si="5"/>
        <v>8.8541666666666664E-3</v>
      </c>
    </row>
    <row r="11" spans="1:12" x14ac:dyDescent="0.25">
      <c r="A11" s="11">
        <f>Pila!H8</f>
        <v>65536</v>
      </c>
      <c r="B11" s="6">
        <f>Pila!K8</f>
        <v>7.2916666666666668E-3</v>
      </c>
      <c r="C11" s="6">
        <f>Pila!R8</f>
        <v>8.8541666666666664E-3</v>
      </c>
      <c r="D11" s="7">
        <f t="shared" si="0"/>
        <v>1.2142857142857142</v>
      </c>
      <c r="E11" s="6">
        <f>Fila!L8</f>
        <v>1.6145833333333335E-2</v>
      </c>
      <c r="F11" s="6">
        <f>Fila!S8</f>
        <v>1.8229166666666668E-2</v>
      </c>
      <c r="G11" s="7">
        <f t="shared" si="1"/>
        <v>1.129032258064516</v>
      </c>
      <c r="I11" s="5">
        <f t="shared" si="2"/>
        <v>7.2916666666666668E-3</v>
      </c>
      <c r="J11" s="5">
        <f t="shared" si="3"/>
        <v>8.8541666666666664E-3</v>
      </c>
      <c r="K11" s="5">
        <f t="shared" si="4"/>
        <v>1.6145833333333335E-2</v>
      </c>
      <c r="L11" s="5">
        <f t="shared" si="5"/>
        <v>1.8229166666666668E-2</v>
      </c>
    </row>
    <row r="12" spans="1:12" x14ac:dyDescent="0.25">
      <c r="A12" s="11">
        <f>Pila!H9</f>
        <v>131072</v>
      </c>
      <c r="B12" s="6">
        <f>Pila!K9</f>
        <v>2.1874999999999999E-2</v>
      </c>
      <c r="C12" s="6">
        <f>Pila!R9</f>
        <v>2.34375E-2</v>
      </c>
      <c r="D12" s="7">
        <f t="shared" si="0"/>
        <v>1.0714285714285714</v>
      </c>
      <c r="E12" s="6">
        <f>Fila!L9</f>
        <v>4.0625000000000001E-2</v>
      </c>
      <c r="F12" s="6">
        <f>Fila!S9</f>
        <v>3.802083333333333E-2</v>
      </c>
      <c r="G12" s="7">
        <f t="shared" si="1"/>
        <v>0.93589743589743579</v>
      </c>
      <c r="I12" s="5">
        <f t="shared" si="2"/>
        <v>2.1874999999999999E-2</v>
      </c>
      <c r="J12" s="5">
        <f t="shared" si="3"/>
        <v>2.34375E-2</v>
      </c>
      <c r="K12" s="5">
        <f t="shared" si="4"/>
        <v>4.0625000000000001E-2</v>
      </c>
      <c r="L12" s="5">
        <f t="shared" si="5"/>
        <v>3.802083333333333E-2</v>
      </c>
    </row>
    <row r="13" spans="1:12" x14ac:dyDescent="0.25">
      <c r="A13" s="11">
        <f>Pila!H10</f>
        <v>262144</v>
      </c>
      <c r="B13" s="6">
        <f>Pila!K10</f>
        <v>2.9687499999999999E-2</v>
      </c>
      <c r="C13" s="6">
        <f>Pila!R10</f>
        <v>3.5416666666666666E-2</v>
      </c>
      <c r="D13" s="7">
        <f t="shared" si="0"/>
        <v>1.1929824561403508</v>
      </c>
      <c r="E13" s="6">
        <f>Fila!L10</f>
        <v>8.8541666666666671E-2</v>
      </c>
      <c r="F13" s="6">
        <f>Fila!S10</f>
        <v>8.6458333333333331E-2</v>
      </c>
      <c r="G13" s="7">
        <f t="shared" si="1"/>
        <v>0.97647058823529409</v>
      </c>
      <c r="I13" s="5">
        <f t="shared" si="2"/>
        <v>2.9687499999999999E-2</v>
      </c>
      <c r="J13" s="5">
        <f t="shared" si="3"/>
        <v>3.5416666666666666E-2</v>
      </c>
      <c r="K13" s="5">
        <f t="shared" si="4"/>
        <v>8.8541666666666671E-2</v>
      </c>
      <c r="L13" s="5">
        <f t="shared" si="5"/>
        <v>8.6458333333333331E-2</v>
      </c>
    </row>
    <row r="16" spans="1:12" x14ac:dyDescent="0.25">
      <c r="A16" s="12" t="s">
        <v>36</v>
      </c>
    </row>
    <row r="17" spans="1:1" x14ac:dyDescent="0.25">
      <c r="A17" s="4" t="str">
        <f>"Mayor tamano medido: n = "&amp;A13&amp;"."</f>
        <v>Mayor tamano medido: n = 262144.</v>
      </c>
    </row>
    <row r="18" spans="1:1" x14ac:dyDescent="0.25">
      <c r="A18" s="4" t="str">
        <f>"Pila, n = "&amp;A13&amp;": cociente arreglo/enlazada = "&amp;IF(ISNUMBER(D13),ROUND(D13,3),D13)&amp;" (promedios "&amp;IF(ISNUMBER(C13),ROUND(C13,6),C13)&amp;" s vs "&amp;IF(ISNUMBER(B13),ROUND(B13,6),B13)&amp;" s)."</f>
        <v>Pila, n = 262144: cociente arreglo/enlazada = 1,193 (promedios 0,035417 s vs 0,029688 s).</v>
      </c>
    </row>
    <row r="19" spans="1:1" x14ac:dyDescent="0.25">
      <c r="A19" s="4" t="str">
        <f>"Fila, n = "&amp;A13&amp;": cociente arreglo/enlazada = "&amp;IF(ISNUMBER(G13),ROUND(G13,3),G13)&amp;" (promedios "&amp;IF(ISNUMBER(F13),ROUND(F13,6),F13)&amp;" s vs "&amp;IF(ISNUMBER(E13),ROUND(E13,6),E13)&amp;" s)."</f>
        <v>Fila, n = 262144: cociente arreglo/enlazada = 0,976 (promedios 0,086458 s vs 0,088542 s).</v>
      </c>
    </row>
    <row r="20" spans="1:1" x14ac:dyDescent="0.25">
      <c r="A20" s="4" t="str">
        <f>"Ultimo ratio T(2N)/T(N) en pila: enlazada "&amp;IF(ISNUMBER(Pila!N10),ROUND(Pila!N10,2),Pila!N10)&amp;", arreglo "&amp;IF(ISNUMBER(Pila!U10),ROUND(Pila!U10,2),Pila!U10)&amp;" (log2: "&amp;IF(ISNUMBER(Pila!O10),ROUND(Pila!O10,2),Pila!O10)&amp;" y "&amp;IF(ISNUMBER(Pila!V10),ROUND(Pila!V10,2),Pila!V10)&amp;")."</f>
        <v>Ultimo ratio T(2N)/T(N) en pila: enlazada 1,36, arreglo 1,51 (log2: 0,44 y 0,6).</v>
      </c>
    </row>
    <row r="21" spans="1:1" x14ac:dyDescent="0.25">
      <c r="A21" s="4" t="str">
        <f>"Ultimo ratio T(2N)/T(N) en fila: enlazada "&amp;IF(ISNUMBER(Fila!O10),ROUND(Fila!O10,2),Fila!O10)&amp;", arreglo "&amp;IF(ISNUMBER(Fila!V10),ROUND(Fila!V10,2),Fila!V10)&amp;" (log2: "&amp;IF(ISNUMBER(Fila!P10),ROUND(Fila!P10,2),Fila!P10)&amp;" y "&amp;IF(ISNUMBER(Fila!W10),ROUND(Fila!W10,2),Fila!W10)&amp;")."</f>
        <v>Ultimo ratio T(2N)/T(N) en fila: enlazada 2,18, arreglo 2,27 (log2: 1,12 y 1,19).</v>
      </c>
    </row>
    <row r="22" spans="1:1" x14ac:dyDescent="0.25">
      <c r="A22" s="4" t="str">
        <f>"Instrumentacion pila con arreglo (n = "&amp;Pila!H10&amp;"): redimensionamientos promedio = "&amp;IF(ISNUMBER(Pila!W10),ROUND(Pila!W10,1),Pila!W10)&amp;"; capacidad maxima promedio = "&amp;IF(ISNUMBER(Pila!X10),ROUND(Pila!X10,0),Pila!X10)&amp;IF(Pila!X10=Pila!H10," (igual a n).",".")</f>
        <v>Instrumentacion pila con arreglo (n = 262144): redimensionamientos promedio = 34; capacidad maxima promedio = 262144 (igual a n).</v>
      </c>
    </row>
    <row r="23" spans="1:1" x14ac:dyDescent="0.25">
      <c r="A23" s="4" t="str">
        <f>"Instrumentacion fila con arreglo (n = "&amp;Fila!I10&amp;"): redimensionamientos promedio = "&amp;IF(ISNUMBER(Fila!X10),ROUND(Fila!X10,1),Fila!X10)&amp;"; capacidad maxima promedio de la frontera = "&amp;IF(ISNUMBER(Fila!Y10),ROUND(Fila!Y10,0),Fila!Y10)&amp;"."</f>
        <v>Instrumentacion fila con arreglo (n = 262144): redimensionamientos promedio = 32; capacidad maxima promedio de la frontera = 131072.</v>
      </c>
    </row>
    <row r="24" spans="1:1" x14ac:dyDescent="0.25">
      <c r="A24" s="4" t="str">
        <f>"Limitacion: "&amp;(COUNTIF(Pila!C2:D271,0)+COUNTIF(Fila!D2:E271,0))&amp;" de "&amp;(COUNT(Pila!C2:D271)+COUNT(Fila!D2:E271))&amp;" tiempos son exactamente 0 (resolucion de 1/64 s del cronometro); los promedios y ratios de los tamanos pequenos no son concluyentes."</f>
        <v>Limitacion: 623 de 1080 tiempos son exactamente 0 (resolucion de 1/64 s del cronometro); los promedios y ratios de los tamanos pequenos no son concluyentes.</v>
      </c>
    </row>
    <row r="25" spans="1:1" x14ac:dyDescent="0.25">
      <c r="A25" s="4" t="s">
        <v>37</v>
      </c>
    </row>
  </sheetData>
  <pageMargins left="0.75" right="0.75" top="1" bottom="1" header="0.5" footer="0.5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Pila</vt:lpstr>
      <vt:lpstr>Fila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Parra</cp:lastModifiedBy>
  <cp:lastPrinted>2026-10-26T00:01:24Z</cp:lastPrinted>
  <dcterms:created xsi:type="dcterms:W3CDTF">2026-10-26T00:01:19Z</dcterms:created>
  <dcterms:modified xsi:type="dcterms:W3CDTF">2026-10-26T00:01:25Z</dcterms:modified>
</cp:coreProperties>
</file>